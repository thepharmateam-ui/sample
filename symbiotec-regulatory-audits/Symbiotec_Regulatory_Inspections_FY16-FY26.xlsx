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 Series" sheetId="1" state="visible" r:id="rId3"/>
    <sheet name="Reconciliation" sheetId="2" state="visible" r:id="rId4"/>
    <sheet name="Chart" sheetId="3" state="visible" r:id="rId5"/>
    <sheet name="Event Log" sheetId="4" state="visible" r:id="rId6"/>
    <sheet name="Sources &amp; Gaps" sheetId="5" state="visible" r:id="rId7"/>
  </sheets>
  <definedNames>
    <definedName function="false" hidden="true" localSheetId="3" name="_xlnm._FilterDatabase" vbProcedure="false">'Event Log'!$A$4:$Q$49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21" authorId="0">
      <text>
        <r>
          <rPr>
            <sz val="10"/>
            <rFont val="Arial"/>
            <family val="2"/>
          </rPr>
          <t xml:space="preserve">DRHP (19-Dec-2025) Risk Factor 2, p.44: quality audits by regulatory authorities, Fiscal 2023 = 4. https://nsearchives.nseindia.com/corporate/Registration_19122025164857_DRHP_fillingversion.pdf</t>
        </r>
      </text>
    </comment>
    <comment ref="K21" authorId="0">
      <text>
        <r>
          <rPr>
            <sz val="10"/>
            <rFont val="Arial"/>
            <family val="2"/>
          </rPr>
          <t xml:space="preserve">DRHP p.44 and RHP (18-Aug-2026) p.30: Fiscal 2024 = 2. https://www.sebi.gov.in/sebi_data/attachdocs/aug-2026/1787119258529.pdf</t>
        </r>
      </text>
    </comment>
    <comment ref="L21" authorId="0">
      <text>
        <r>
          <rPr>
            <sz val="10"/>
            <rFont val="Arial"/>
            <family val="2"/>
          </rPr>
          <t xml:space="preserve">DRHP p.44 and RHP p.30: Fiscal 2025 = 4. https://www.sebi.gov.in/sebi_data/attachdocs/aug-2026/1787119258529.pdf</t>
        </r>
      </text>
    </comment>
    <comment ref="M21" authorId="0">
      <text>
        <r>
          <rPr>
            <sz val="10"/>
            <rFont val="Arial"/>
            <family val="2"/>
          </rPr>
          <t xml:space="preserve">RHP p.30: Fiscal 2026 = 3 (DRHP: nil in Q1 FY26). https://www.sebi.gov.in/sebi_data/attachdocs/aug-2026/1787119258529.pdf</t>
        </r>
      </text>
    </comment>
  </commentList>
</comments>
</file>

<file path=xl/sharedStrings.xml><?xml version="1.0" encoding="utf-8"?>
<sst xmlns="http://schemas.openxmlformats.org/spreadsheetml/2006/main" count="827" uniqueCount="358">
  <si>
    <t xml:space="preserve">Symbiotec Pharmalab - regulatory inspections by agency, site and fiscal year (FY16-FY26)</t>
  </si>
  <si>
    <t xml:space="preserve">Rau (Indore; FEI 3005122933) and Pithampur SEZ (Dhar; FEI 3009298759). Indian FY = Apr-Mar. Counts are formulas over 'Event Log' (rows flagged Counted = Yes); inspections bucketed by end date, except where an inspection straddles FY-end (then by start). Blue = hard-coded company disclosures.</t>
  </si>
  <si>
    <t xml:space="preserve">Agency</t>
  </si>
  <si>
    <t xml:space="preserve">Site</t>
  </si>
  <si>
    <t xml:space="preserve">FY16</t>
  </si>
  <si>
    <t xml:space="preserve">FY17</t>
  </si>
  <si>
    <t xml:space="preserve">FY18</t>
  </si>
  <si>
    <t xml:space="preserve">FY19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</si>
  <si>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</si>
  <si>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</si>
  <si>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</si>
  <si>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</si>
  <si>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</si>
  <si>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</si>
  <si>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</si>
  <si>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Total FY16-26</t>
  </si>
  <si>
    <t xml:space="preserve">FY27 YTD (memo)</t>
  </si>
  <si>
    <t xml:space="preserve">US FDA</t>
  </si>
  <si>
    <t xml:space="preserve">Rau</t>
  </si>
  <si>
    <t xml:space="preserve">Pithampur</t>
  </si>
  <si>
    <t xml:space="preserve">EU-GMP</t>
  </si>
  <si>
    <t xml:space="preserve">ANVISA</t>
  </si>
  <si>
    <t xml:space="preserve">PMDA</t>
  </si>
  <si>
    <t xml:space="preserve">MFDS (Korea FDA)</t>
  </si>
  <si>
    <t xml:space="preserve">Identified inspections - total</t>
  </si>
  <si>
    <t xml:space="preserve">  of which US FDA</t>
  </si>
  <si>
    <t xml:space="preserve">  of which EU-GMP</t>
  </si>
  <si>
    <t xml:space="preserve">  of which ANVISA / PMDA / MFDS</t>
  </si>
  <si>
    <t xml:space="preserve">  of which adverse (FDA OAI / EU non-compliance)</t>
  </si>
  <si>
    <t xml:space="preserve">Company-disclosed regulatory audits, both sites (DRHP/RHP)</t>
  </si>
  <si>
    <t xml:space="preserve">n/d</t>
  </si>
  <si>
    <t xml:space="preserve">Unattributed company-disclosed audits (disclosed - identified)</t>
  </si>
  <si>
    <t xml:space="preserve">Event detail by fiscal year (inspections; [cert]/[accr]/[claim] = certificate, accreditation or undated company claim - not counted above)</t>
  </si>
  <si>
    <t xml:space="preserve">May-17 VAI</t>
  </si>
  <si>
    <t xml:space="preserve">Sep-19 VAI
Oct-19 VAI</t>
  </si>
  <si>
    <t xml:space="preserve">Mar-Apr-26 VAI, EIR</t>
  </si>
  <si>
    <t xml:space="preserve">Apr-15 NAI</t>
  </si>
  <si>
    <t xml:space="preserve">May-17 VAI, 6 obs</t>
  </si>
  <si>
    <t xml:space="preserve">Jul-19 OAI, 4 obs</t>
  </si>
  <si>
    <t xml:space="preserve">Sep-22 VAI, 6 obs</t>
  </si>
  <si>
    <t xml:space="preserve">~May-23 483 (likely PAI)</t>
  </si>
  <si>
    <t xml:space="preserve">Aug-26 VAI, 4 obs</t>
  </si>
  <si>
    <t xml:space="preserve">2015 re-qual (yr only)</t>
  </si>
  <si>
    <t xml:space="preserve">2018 re-qual (yr only)</t>
  </si>
  <si>
    <t xml:space="preserve">NON-COMPLIANCE (sterile), pub. Apr-20</t>
  </si>
  <si>
    <t xml:space="preserve">Jun-20 remote assessment, cert</t>
  </si>
  <si>
    <t xml:space="preserve">~Q4FY23 insp., cert Apr-23</t>
  </si>
  <si>
    <t xml:space="preserve">Mar-26 insp., cert</t>
  </si>
  <si>
    <t xml:space="preserve">~Q3FY24 insp., cert Feb-24</t>
  </si>
  <si>
    <t xml:space="preserve">[cert] Aug-25 first CBPF</t>
  </si>
  <si>
    <t xml:space="preserve">[cert] Jul-23 CBPF</t>
  </si>
  <si>
    <t xml:space="preserve">[cert] May-24 CBPF (hormones)</t>
  </si>
  <si>
    <t xml:space="preserve">[cert] Jul-25 CBPF re-grant</t>
  </si>
  <si>
    <t xml:space="preserve">[cert] May-26 auto-renewal</t>
  </si>
  <si>
    <t xml:space="preserve">[accr] ~Feb-17 FMA (inferred)</t>
  </si>
  <si>
    <t xml:space="preserve">[accr] Feb-22 FMA renewal</t>
  </si>
  <si>
    <t xml:space="preserve">Shading:</t>
  </si>
  <si>
    <t xml:space="preserve">blue = counted inspection; red = adverse outcome (FDA OAI Jul-2019 Pithampur; EU GMP non-compliance Rau, published Apr-2020).</t>
  </si>
  <si>
    <t xml:space="preserve">ANVISA / PMDA / MFDS:</t>
  </si>
  <si>
    <t xml:space="preserve">no dated on-site inspection found in any primary source. ANVISA certificates (DOU) appear desk/reliance-based; PMDA foreign-manufacturer accreditation is document-based; MFDS approval is an undated company claim. The company does say ANVISA and PMDA inspected in FY23-FY26 - these sit in the 'Unattributed' row (6 audits: 2 in FY23, 4 in FY25).</t>
  </si>
  <si>
    <t xml:space="preserve">Year-only events:</t>
  </si>
  <si>
    <t xml:space="preserve">EU-GMP 2015 and 2018 re-qualifications (company milestones) are placed in FY16 and FY19 (Apr-Dec of the calendar year); they would be FY15/FY18 if they fell in Jan-Mar.</t>
  </si>
  <si>
    <t xml:space="preserve">Not in grid:</t>
  </si>
  <si>
    <t xml:space="preserve">Rau 17-Jan-2023 (Redica only; conflicts with DRHP) - see Event Log FDA-U1. KDMF/JDMF product filings and the CDSCO Oct-2021 inspection are in the Event Log only.</t>
  </si>
  <si>
    <t xml:space="preserve">Reconciliation: company-disclosed regulatory audits vs identified inspections</t>
  </si>
  <si>
    <t xml:space="preserve">Company counts (DRHP/RHP Risk Factor 2) cover all regulators at both sites; agencies/dates are not disclosed.</t>
  </si>
  <si>
    <t xml:space="preserve">FY</t>
  </si>
  <si>
    <t xml:space="preserve">Company-disclosed</t>
  </si>
  <si>
    <t xml:space="preserve">Identified (Time Series)</t>
  </si>
  <si>
    <t xml:space="preserve">Unattributed</t>
  </si>
  <si>
    <t xml:space="preserve">Identified events</t>
  </si>
  <si>
    <t xml:space="preserve">Likely candidates for unattributed audits</t>
  </si>
  <si>
    <t xml:space="preserve">FDA-07 Pithampur Sep-2022 (VAI, 6 obs); EU-07 Rau ~Jan-Apr 2023 (cert 21-Apr-2023)</t>
  </si>
  <si>
    <t xml:space="preserve">PMDA (Rau; company 'three years' as of Jun-2025 -&gt; ~2022) and MFDS/KFDA (Pithampur; 'three years' -&gt; ~2022). Possibly the Redica-listed Rau event of 17-Jan-2023. Low confidence.</t>
  </si>
  <si>
    <t xml:space="preserve">FDA-08 Pithampur ~May-2023 (483); EU-08 Pithampur ~Nov-23 to Feb-24 (cert 22-Feb-2024)</t>
  </si>
  <si>
    <t xml:space="preserve">None - fully reconciled.</t>
  </si>
  <si>
    <t xml:space="preserve">None identified</t>
  </si>
  <si>
    <t xml:space="preserve">ANVISA / PMDA / KFDA per company (DRHP/RHP name ANVISA &amp; PMDA among inspecting regulators; BRSR FY25 lists PMDA &amp; KFDA). ANVISA hormone CBPF (May-2024) and Rau CBPF application (2024) fall here, but no ANVISA site visit is on record. Low confidence.</t>
  </si>
  <si>
    <t xml:space="preserve">EU-09 Rau Mar-2026; EU-10 Pithampur Mar-2026; FDA-09 Rau Mar-Apr 2026 (VAI)</t>
  </si>
  <si>
    <t xml:space="preserve">None - fully reconciled (matches Q1FY27 investor release).</t>
  </si>
  <si>
    <t xml:space="preserve">Total</t>
  </si>
  <si>
    <t xml:space="preserve">DRHP states '10 inspections by regulatory agencies such as the US FDA, EU-GMP, ANVISA and PMDA' over FY23-Q1FY26 (4+2+4+0).</t>
  </si>
  <si>
    <t xml:space="preserve">RHP states 'nine inspections' on p.222 (= 2+4+3) but '11 inspections' on pp.147, 230, 247 - internally inconsistent.</t>
  </si>
  <si>
    <t xml:space="preserve">Neither document discloses the Jul-2019 FDA OAI (Pithampur) or the Apr-2020 EU GMP non-compliance (Rau sterile); both pre-date the 3-fiscal disclosure window.</t>
  </si>
  <si>
    <t xml:space="preserve">CARE Ratings: both facilities 'approved six times each by USFDA and EU-GMP' (Mar-2020, Feb/Dec-2022); 'seven times each' (Dec-2023, Dec-2024).</t>
  </si>
  <si>
    <t xml:space="preserve">Identified regulatory inspections per fiscal year, stacked by agency (data: Time Series sheet)</t>
  </si>
  <si>
    <t xml:space="preserve">Unattributed = company-disclosed regulatory audits (DRHP/RHP, FY23-FY26 only) not matched to a dated inspection; the company names ANVISA, PMDA and KFDA among its inspecting regulators. FY16-FY22: company counts not disclosed.</t>
  </si>
  <si>
    <t xml:space="preserve">Symbiotec Pharmalab - regulatory event log, Rau &amp; Pithampur API sites (Apr-2015 to Oct-2026)</t>
  </si>
  <si>
    <t xml:space="preserve">Indian FY = Apr-Mar (FY16 = Apr-2015 to Mar-2016). 'Counted as inspection?' = Yes feeds the Time Series grid. Rau FEI 3005122933; Pithampur SEZ FEI 3009298759. Compiled 30-Oct-2026 from Exa web research.</t>
  </si>
  <si>
    <t xml:space="preserve">ID</t>
  </si>
  <si>
    <t xml:space="preserve">FY bucket</t>
  </si>
  <si>
    <t xml:space="preserve">Inspection start</t>
  </si>
  <si>
    <t xml:space="preserve">Inspection end / event date</t>
  </si>
  <si>
    <t xml:space="preserve">Date basis</t>
  </si>
  <si>
    <t xml:space="preserve">Event type</t>
  </si>
  <si>
    <t xml:space="preserve">Counted as inspection?</t>
  </si>
  <si>
    <t xml:space="preserve">Outcome / classification</t>
  </si>
  <si>
    <t xml:space="preserve">Adverse?</t>
  </si>
  <si>
    <t xml:space="preserve">Form 483 obs.</t>
  </si>
  <si>
    <t xml:space="preserve">Reference (FEI / ID / certificate)</t>
  </si>
  <si>
    <t xml:space="preserve">Confidence</t>
  </si>
  <si>
    <t xml:space="preserve">Notes</t>
  </si>
  <si>
    <t xml:space="preserve">Source 1</t>
  </si>
  <si>
    <t xml:space="preserve">Source 2</t>
  </si>
  <si>
    <t xml:space="preserve">FDA-01</t>
  </si>
  <si>
    <t xml:space="preserve">End date exact (FDA dashboard)</t>
  </si>
  <si>
    <t xml:space="preserve">cGMP surveillance inspection</t>
  </si>
  <si>
    <t xml:space="preserve">Yes</t>
  </si>
  <si>
    <t xml:space="preserve">NAI</t>
  </si>
  <si>
    <t xml:space="preserve">No</t>
  </si>
  <si>
    <t xml:space="preserve">FEI 3009298759; FDA inspection ID 924417</t>
  </si>
  <si>
    <t xml:space="preserve">High</t>
  </si>
  <si>
    <t xml:space="preserve">Company milestone '2015 Re-Accreditation by US-FDA of SEZ Site' is this same inspection.</t>
  </si>
  <si>
    <t xml:space="preserve">https://projects.propublica.org/rx-inspector/facilities/3009298759/</t>
  </si>
  <si>
    <t xml:space="preserve">https://www.pharmacompass.com/fda-inspection/symbiotec-pharmalab</t>
  </si>
  <si>
    <t xml:space="preserve">FDA-02</t>
  </si>
  <si>
    <t xml:space="preserve">Exact (Form 483)</t>
  </si>
  <si>
    <t xml:space="preserve">VAI</t>
  </si>
  <si>
    <t xml:space="preserve">FEI 3009298759; ID 1013794</t>
  </si>
  <si>
    <t xml:space="preserve">483 items: GMP records signed by staff not on site (biometric mismatch), invalid stability test method, Part 11 risk assessment, supplier audits, unqualified pinhole tester.</t>
  </si>
  <si>
    <t xml:space="preserve">https://static.propublica.org/fda-inspection-documents/483s/2024-3040%2F483s%2F2018-10239encl2.pdf</t>
  </si>
  <si>
    <t xml:space="preserve">FDA-03</t>
  </si>
  <si>
    <t xml:space="preserve">FEI 3005122933; ID 1014181</t>
  </si>
  <si>
    <t xml:space="preserve">No Form 483 published.</t>
  </si>
  <si>
    <t xml:space="preserve">https://projects.propublica.org/rx-inspector/facilities/3005122933/</t>
  </si>
  <si>
    <t xml:space="preserve">FDA-04</t>
  </si>
  <si>
    <t xml:space="preserve">OAI (Official Action Indicated)</t>
  </si>
  <si>
    <t xml:space="preserve">FEI 3009298759; ID 1098217</t>
  </si>
  <si>
    <t xml:space="preserve">High (dates, 483); Medium (OAI)</t>
  </si>
  <si>
    <t xml:space="preserve">OAI per FDA dashboard data republished by SupplierVigil and pharmaceuticalcompanies.com (Oct-2026); not checked on FDA's own dashboard. 483 cites ~21,372 aborted chromatography runs (May-17 to Jul-19), CPP monitoring, cleaning validation. No warning letter / import alert found. Not disclosed in DRHP/RHP.</t>
  </si>
  <si>
    <t xml:space="preserve">https://static.propublica.org/fda-inspection-documents/483s/2024-3040%2F483s%2F19008449_enc7_320.pdf</t>
  </si>
  <si>
    <t xml:space="preserve">https://www.suppliervigil.com/suppliers/symbiotec-pharmalab-limited</t>
  </si>
  <si>
    <t xml:space="preserve">FDA-05</t>
  </si>
  <si>
    <t xml:space="preserve">FEI 3005122933; ID 1106997</t>
  </si>
  <si>
    <t xml:space="preserve">Separate inspection ID from FDA-06 (not a project-area duplicate).</t>
  </si>
  <si>
    <t xml:space="preserve">https://www.keypedia.com/records/fda_inspections/symbiotec-pharmalab-private-limited/b0ba173d-b65b-43a0-8818-8865313a6c3b</t>
  </si>
  <si>
    <t xml:space="preserve">FDA-06</t>
  </si>
  <si>
    <t xml:space="preserve">FEI 3005122933; ID 1141089</t>
  </si>
  <si>
    <t xml:space="preserve">DRHP: 'Rau Facility was last inspected by the US FDA in 2019 ... received Form 483'.</t>
  </si>
  <si>
    <t xml:space="preserve">https://www.keypedia.com/records/fda_inspections/symbiotec-pharmalab-private-limited/87bf2ce3-bf0d-4a25-bbbc-41c49e4acebc</t>
  </si>
  <si>
    <t xml:space="preserve">FDA-07</t>
  </si>
  <si>
    <t xml:space="preserve">FEI 3009298759; ID 1182042</t>
  </si>
  <si>
    <t xml:space="preserve">483 items: lab controls (uncontrolled scratch calculations), cleaning validation, SCADA alarms disabled, KF software errors, method-validation review, late complaint investigations.</t>
  </si>
  <si>
    <t xml:space="preserve">https://static.propublica.org/fda-inspection-documents/483s/2024-10376%2F483s%2F2024-9235%2F2022-8697encl20.pdf</t>
  </si>
  <si>
    <t xml:space="preserve">FDA-08</t>
  </si>
  <si>
    <t xml:space="preserve">~15-May-2023</t>
  </si>
  <si>
    <t xml:space="preserve">Year from DRHP/RHP; day from Redica only</t>
  </si>
  <si>
    <t xml:space="preserve">Inspection - not on FDA classification dashboard (consistent with a pre-approval inspection; unconfirmed)</t>
  </si>
  <si>
    <t xml:space="preserve">Form 483 issued; company 'subsequently received approval'</t>
  </si>
  <si>
    <t xml:space="preserve">FEI 3009298759</t>
  </si>
  <si>
    <t xml:space="preserve">Medium</t>
  </si>
  <si>
    <t xml:space="preserve">DRHP p.44: 'Pithampur Facility was last inspected by the US FDA in 2023 and we received Form 483'. Redica lists an FDA investigator (U. Limchumroon) not on the 2017/2019/2022 483s.</t>
  </si>
  <si>
    <t xml:space="preserve">https://nsearchives.nseindia.com/corporate/Registration_19122025164857_DRHP_fillingversion.pdf</t>
  </si>
  <si>
    <t xml:space="preserve">https://redica.com/document-store/sites/siteprofile/100013374/symbiotec-pharmalab-private-limited-pithampur-m-india</t>
  </si>
  <si>
    <t xml:space="preserve">FDA-09</t>
  </si>
  <si>
    <t xml:space="preserve">Mar-2026 (company)</t>
  </si>
  <si>
    <t xml:space="preserve">End date exact (FDA dashboard); start month per company</t>
  </si>
  <si>
    <t xml:space="preserve">VAI; EIR received</t>
  </si>
  <si>
    <t xml:space="preserve">483 issued (count n/d)</t>
  </si>
  <si>
    <t xml:space="preserve">FEI 3005122933; ID 1313542</t>
  </si>
  <si>
    <t xml:space="preserve">Straddles FY-end: bucketed FY26 by start month (company counts it in FY26's 3 audits); FY27 if bucketed by end date.</t>
  </si>
  <si>
    <t xml:space="preserve">https://nsearchives.nseindia.com/corporate/SYMBIOTEC_21092026195951_SymbiotecInvestorReleaseQ1FY2027.pdf</t>
  </si>
  <si>
    <t xml:space="preserve">https://www.keypedia.com/records/fda_inspections/symbiotec-pharmalab-private-limited/6a9a8083-0914-4550-91a6-a546311d6e24</t>
  </si>
  <si>
    <t xml:space="preserve">FDA-10</t>
  </si>
  <si>
    <t xml:space="preserve">FY27</t>
  </si>
  <si>
    <t xml:space="preserve">Exact (company filing)</t>
  </si>
  <si>
    <t xml:space="preserve">VAI; EIR announced 29-Sep-2026</t>
  </si>
  <si>
    <t xml:space="preserve">FEI 3009298759; ID 1334248</t>
  </si>
  <si>
    <t xml:space="preserve">Outside FY16-26 window (memo).</t>
  </si>
  <si>
    <t xml:space="preserve">https://nsearchives.nseindia.com/corporate/SYMBIOTEC_29092026105720_SymbiotecUSFDAApprovalSEZ.pdf</t>
  </si>
  <si>
    <t xml:space="preserve">https://www.sebi.gov.in/sebi_data/attachdocs/aug-2026/1787119258529.pdf</t>
  </si>
  <si>
    <t xml:space="preserve">FDA-U1</t>
  </si>
  <si>
    <t xml:space="preserve">17-Jan-2023 (unverified)</t>
  </si>
  <si>
    <t xml:space="preserve">Redica 'last known inspection' only</t>
  </si>
  <si>
    <t xml:space="preserve">Unverified - excluded</t>
  </si>
  <si>
    <t xml:space="preserve">n/a</t>
  </si>
  <si>
    <t xml:space="preserve">FEI 3005122933</t>
  </si>
  <si>
    <t xml:space="preserve">Low</t>
  </si>
  <si>
    <t xml:space="preserve">Conflicts with DRHP ('Rau last inspected by US FDA in 2019'). Not in FDA dashboard/ProPublica/Keypedia. Possibly the EU-GMP inspection behind the 21-Apr-2023 certificate (EU-07).</t>
  </si>
  <si>
    <t xml:space="preserve">https://redica.com/document-store/sites/siteprofile/100194580/symbiotec-pharmalab-private-limited-rau-india</t>
  </si>
  <si>
    <t xml:space="preserve">EU-01</t>
  </si>
  <si>
    <t xml:space="preserve">2015 (year only)</t>
  </si>
  <si>
    <t xml:space="preserve">Calendar year only (company milestone); FY15 if Jan-Mar 2015</t>
  </si>
  <si>
    <t xml:space="preserve">Re-qualification inspection (implied)</t>
  </si>
  <si>
    <t xml:space="preserve">EU-GMP certificate re-qualified</t>
  </si>
  <si>
    <t xml:space="preserve">Authority presumed Regierung von Oberbayern</t>
  </si>
  <si>
    <t xml:space="preserve">No certificate no. or inspection date found.</t>
  </si>
  <si>
    <t xml:space="preserve">https://www.symbiotec.in/about-us/milestone/</t>
  </si>
  <si>
    <t xml:space="preserve">EU-02</t>
  </si>
  <si>
    <t xml:space="preserve">EU-03</t>
  </si>
  <si>
    <t xml:space="preserve">2018 (year only)</t>
  </si>
  <si>
    <t xml:space="preserve">Calendar year only (company milestone); FY18 if Jan-Mar 2018</t>
  </si>
  <si>
    <t xml:space="preserve">EU-04</t>
  </si>
  <si>
    <t xml:space="preserve">EU-05</t>
  </si>
  <si>
    <t xml:space="preserve">Before 08-Apr-2020</t>
  </si>
  <si>
    <t xml:space="preserve">Inferred: NCS relayed by AIFA 08-Apr-2020; inspection date not found</t>
  </si>
  <si>
    <t xml:space="preserve">Inspection -&gt; Statement of GMP non-compliance (sterile)</t>
  </si>
  <si>
    <t xml:space="preserve">NON-COMPLIANT for sterile active substances / sterile products</t>
  </si>
  <si>
    <t xml:space="preserve">Issuing EEA authority not confirmed (likely Regierung von Oberbayern)</t>
  </si>
  <si>
    <t xml:space="preserve">High (event); Low (date)</t>
  </si>
  <si>
    <t xml:space="preserve">AIFA asked MAHs to name alternative sites by 16-Apr-2020. Non-sterile APIs unaffected (Rau certificates issued Jul-2020). No longer in public EudraGMDP NCR list (likely withdrawn); lifting date not found. Not disclosed in DRHP/RHP.</t>
  </si>
  <si>
    <t xml:space="preserve">https://www.aifa.gov.it/-/statement-non-compliance-gmp-officina-farmaceutica-symbiotec-pharmalab-ltd-india</t>
  </si>
  <si>
    <t xml:space="preserve">EU-06</t>
  </si>
  <si>
    <t xml:space="preserve">Exact (EudraGMDP mirror)</t>
  </si>
  <si>
    <t xml:space="preserve">Distant (remote) assessment</t>
  </si>
  <si>
    <t xml:space="preserve">GMP certificates issued 16-Jul-2020 and 24-Jul-2020</t>
  </si>
  <si>
    <t xml:space="preserve">DE_BY_04_GMP_2020_0095; DE_BY_04_GMP_2020_0101 (Regierung von Oberbayern)</t>
  </si>
  <si>
    <t xml:space="preserve">Remote COVID-era assessment, not on-site; scope likely non-sterile only (inference).</t>
  </si>
  <si>
    <t xml:space="preserve">https://www.johnsnowlabs.com/marketplace/ema-good-manufacturing-practice-certificates-of-non-eea-countries/</t>
  </si>
  <si>
    <t xml:space="preserve">EU-07</t>
  </si>
  <si>
    <t xml:space="preserve">~Jan-Apr 2023 (inferred)</t>
  </si>
  <si>
    <t xml:space="preserve">Inferred from certificate issue date (90-day rule)</t>
  </si>
  <si>
    <t xml:space="preserve">On-site inspection (implied by certificate)</t>
  </si>
  <si>
    <t xml:space="preserve">GMP certificate issued 21-Apr-2023</t>
  </si>
  <si>
    <t xml:space="preserve">EudraGMDP key 160829 (DE_BY_04_...)</t>
  </si>
  <si>
    <t xml:space="preserve">Site attributed to Rau by elimination (NCA ref PL0585; no city shown). FY24 if inspection ended 1-21 Apr 2023.</t>
  </si>
  <si>
    <t xml:space="preserve">https://www.pharmacompass.com/edqm-gmp/symbiotec-pharmalab</t>
  </si>
  <si>
    <t xml:space="preserve">EU-08</t>
  </si>
  <si>
    <t xml:space="preserve">~Nov-2023 to Feb-2024 (inferred)</t>
  </si>
  <si>
    <t xml:space="preserve">GMP certificate issued 22-Feb-2024</t>
  </si>
  <si>
    <t xml:space="preserve">EudraGMDP key 167889 (DE_BY_04_...)</t>
  </si>
  <si>
    <t xml:space="preserve">EU-09</t>
  </si>
  <si>
    <t xml:space="preserve">Exact (EudraGMDP mirror); company confirms Mar-2026</t>
  </si>
  <si>
    <t xml:space="preserve">On-site inspection</t>
  </si>
  <si>
    <t xml:space="preserve">GMP certificate issued 29-May-2026</t>
  </si>
  <si>
    <t xml:space="preserve">DE_BY_04_GMP_2026_0077 (Regierung von Oberbayern)</t>
  </si>
  <si>
    <t xml:space="preserve">https://www.pharmajungle.com/eudra-gmp</t>
  </si>
  <si>
    <t xml:space="preserve">EU-10</t>
  </si>
  <si>
    <t xml:space="preserve">GMP certificate issued 10-Jun-2026</t>
  </si>
  <si>
    <t xml:space="preserve">DE_BY_04_GMP_2026_0078 (Regierung von Oberbayern)</t>
  </si>
  <si>
    <t xml:space="preserve">ANV-01</t>
  </si>
  <si>
    <t xml:space="preserve">DOU publication date</t>
  </si>
  <si>
    <t xml:space="preserve">GMP certificate (CBPF) - no on-site inspection found</t>
  </si>
  <si>
    <t xml:space="preserve">Granted: prednisolone sodium phosphate; valid 2 yrs</t>
  </si>
  <si>
    <t xml:space="preserve">Resolucao-RE 2.493 (07-Jul-2023)</t>
  </si>
  <si>
    <t xml:space="preserve">High (cert); Medium (no inspection)</t>
  </si>
  <si>
    <t xml:space="preserve">Not on ANVISA's 2022/2023 inspected-foreign-API lists or 2024-26 approved overseas inspection schedules; likely desk/reliance review.</t>
  </si>
  <si>
    <t xml:space="preserve">https://www.in.gov.br/en/web/dou/-/resolucao-re-n-2.493-de-7-de-julho-de-2023-495194889</t>
  </si>
  <si>
    <t xml:space="preserve">ANV-02</t>
  </si>
  <si>
    <t xml:space="preserve">Granted: 7 steroid hormones; valid 2 yrs</t>
  </si>
  <si>
    <t xml:space="preserve">Resolucao-RE 1.915 (16-May-2024)</t>
  </si>
  <si>
    <t xml:space="preserve">https://www.in.gov.br/en/web/dou/-/resolucao-re-n-1.915-de-16-de-maio-de-2024-560728209</t>
  </si>
  <si>
    <t xml:space="preserve">ANV-03</t>
  </si>
  <si>
    <t xml:space="preserve">GMP certificate re-grant (CBPF) - no on-site inspection found</t>
  </si>
  <si>
    <t xml:space="preserve">Resolucao-RE 2.573 (10-Jul-2025)</t>
  </si>
  <si>
    <t xml:space="preserve">https://www.in.gov.br/en/web/dou/-/resolucao-re-n-2.573-de-10-de-julho-de-2025-641600254</t>
  </si>
  <si>
    <t xml:space="preserve">ANV-04</t>
  </si>
  <si>
    <t xml:space="preserve">GMP certificate (CBPF), first for Rau - no on-site inspection found</t>
  </si>
  <si>
    <t xml:space="preserve">Granted: 11 corticosteroid APIs; valid 2 yrs</t>
  </si>
  <si>
    <t xml:space="preserve">Resolucao-RE 3.099 (14-Aug-2025)</t>
  </si>
  <si>
    <t xml:space="preserve">Matches RHP 'ANVISA (since 2025)' for Rau. Not on ANVISA's 2022/2023 inspected-foreign-API lists or 2024-26 approved overseas inspection schedules; likely desk/reliance review.</t>
  </si>
  <si>
    <t xml:space="preserve">https://www.in.gov.br/en/web/dou/-/resolucao-re-n-3.099-de-14-de-agosto-de-2025-648884164</t>
  </si>
  <si>
    <t xml:space="preserve">ANV-05</t>
  </si>
  <si>
    <t xml:space="preserve">Automatic certificate renewal (art. 39 RDC 497/2021) - explicitly not an inspection</t>
  </si>
  <si>
    <t xml:space="preserve">Hormone CBPF renewed to May-2028</t>
  </si>
  <si>
    <t xml:space="preserve">Resolucao-RE 2.008 (14-May-2026)</t>
  </si>
  <si>
    <t xml:space="preserve">Outside window (memo).</t>
  </si>
  <si>
    <t xml:space="preserve">https://www.in.gov.br/en/web/dou/-/resolucao-re-n-2.008-de-14-de-maio-de-2026-706287958</t>
  </si>
  <si>
    <t xml:space="preserve">ANV-C</t>
  </si>
  <si>
    <t xml:space="preserve">Rau / Pithampur</t>
  </si>
  <si>
    <t xml:space="preserve">FY23-FY25 (undated)</t>
  </si>
  <si>
    <t xml:space="preserve">Undated</t>
  </si>
  <si>
    <t xml:space="preserve">Company claim only</t>
  </si>
  <si>
    <t xml:space="preserve">Inspection claimed by company (DRHP/RHP list ANVISA among inspecting regulators)</t>
  </si>
  <si>
    <t xml:space="preserve">'No critical observations'</t>
  </si>
  <si>
    <t xml:space="preserve">Not dated; may be among the unattributed audits in FY23/FY25 (see Reconciliation).</t>
  </si>
  <si>
    <t xml:space="preserve">PMDA-01</t>
  </si>
  <si>
    <t xml:space="preserve">~27-Feb-2017 (inferred)</t>
  </si>
  <si>
    <t xml:space="preserve">Inferred from accreditation number sequence</t>
  </si>
  <si>
    <t xml:space="preserve">Foreign Manufacturer Accreditation (original grant) - document-based</t>
  </si>
  <si>
    <t xml:space="preserve">Accredited</t>
  </si>
  <si>
    <t xml:space="preserve">AG12300303</t>
  </si>
  <si>
    <t xml:space="preserve">Medium-low</t>
  </si>
  <si>
    <t xml:space="preserve">PMDA: accreditation surveys are in principle document-based.</t>
  </si>
  <si>
    <t xml:space="preserve">https://www.pmda.go.jp/files/000283243.pdf</t>
  </si>
  <si>
    <t xml:space="preserve">https://www.pmda.go.jp/files/000161368.pdf</t>
  </si>
  <si>
    <t xml:space="preserve">PMDA-02</t>
  </si>
  <si>
    <t xml:space="preserve">Exact (MHLW/PMDA accreditation list)</t>
  </si>
  <si>
    <t xml:space="preserve">Foreign Manufacturer Accreditation renewal - document-based</t>
  </si>
  <si>
    <t xml:space="preserve">Accredited 27-Feb-2022 to 26-Feb-2027; renewal filed</t>
  </si>
  <si>
    <t xml:space="preserve">Pithampur is not Japan-accredited.</t>
  </si>
  <si>
    <t xml:space="preserve">PMDA-03</t>
  </si>
  <si>
    <t xml:space="preserve">Exact (PMDA MF list)</t>
  </si>
  <si>
    <t xml:space="preserve">Product filing (JDMF)</t>
  </si>
  <si>
    <t xml:space="preserve">229MF10086 clobetasol propionate</t>
  </si>
  <si>
    <t xml:space="preserve">229MF10086</t>
  </si>
  <si>
    <t xml:space="preserve">https://www.pmda.go.jp/files/000240885.pdf</t>
  </si>
  <si>
    <t xml:space="preserve">PMDA-04</t>
  </si>
  <si>
    <t xml:space="preserve">229MF10100 clobetasone butyrate</t>
  </si>
  <si>
    <t xml:space="preserve">229MF10100</t>
  </si>
  <si>
    <t xml:space="preserve">PMDA-C</t>
  </si>
  <si>
    <t xml:space="preserve">GMP compliance inspection claimed by company (DRHP/RHP; 'PMDA (three years)')</t>
  </si>
  <si>
    <t xml:space="preserve">Low-medium</t>
  </si>
  <si>
    <t xml:space="preserve">On-site vs desk not disclosed. Likely among unattributed audits in FY23/FY25.</t>
  </si>
  <si>
    <t xml:space="preserve">MFDS-C</t>
  </si>
  <si>
    <t xml:space="preserve">~FY23 (undated)</t>
  </si>
  <si>
    <t xml:space="preserve">Undated (~2022)</t>
  </si>
  <si>
    <t xml:space="preserve">Company claim: 'MFDS (three years)' as of Jun-2025</t>
  </si>
  <si>
    <t xml:space="preserve">GMP approval/audit claimed by company</t>
  </si>
  <si>
    <t xml:space="preserve">Approved</t>
  </si>
  <si>
    <t xml:space="preserve">No MFDS inspection record found (nedrug, MFDS press, Korean trade press). BRSR FY25 lists 'KFDA' among regulatory auditors.</t>
  </si>
  <si>
    <t xml:space="preserve">https://nsearchives.nseindia.com/corporate/SYMBIOTEC_21092026195544_SymbiotecInvestorPresentationQ1FY2027.pdf</t>
  </si>
  <si>
    <t xml:space="preserve">KDMF-01</t>
  </si>
  <si>
    <t xml:space="preserve">Registration date (PharmaCompass KDMF data)</t>
  </si>
  <si>
    <t xml:space="preserve">Product filing (KDMF)</t>
  </si>
  <si>
    <t xml:space="preserve">Triamcinolone acetonide</t>
  </si>
  <si>
    <t xml:space="preserve">Not an inspection.</t>
  </si>
  <si>
    <t xml:space="preserve">https://www.pharmacompass.com/korea-drug-master-files-dmfs/symbiotec-pharmalab</t>
  </si>
  <si>
    <t xml:space="preserve">KDMF-02</t>
  </si>
  <si>
    <t xml:space="preserve">Methylprednisolone</t>
  </si>
  <si>
    <t xml:space="preserve">KDMF-03</t>
  </si>
  <si>
    <t xml:space="preserve">Clobetasol propionate</t>
  </si>
  <si>
    <t xml:space="preserve">KDMF-04</t>
  </si>
  <si>
    <t xml:space="preserve">KDMF-05</t>
  </si>
  <si>
    <t xml:space="preserve">KDMF-06</t>
  </si>
  <si>
    <t xml:space="preserve">Methylprednisolone sodium succinate</t>
  </si>
  <si>
    <t xml:space="preserve">KDMF-07</t>
  </si>
  <si>
    <t xml:space="preserve">Estradiol hemihydrate</t>
  </si>
  <si>
    <t xml:space="preserve">KDMF-08</t>
  </si>
  <si>
    <t xml:space="preserve">Methylprednisolone (micronised)</t>
  </si>
  <si>
    <t xml:space="preserve">KDMF-09</t>
  </si>
  <si>
    <t xml:space="preserve">Prednisolone acetate</t>
  </si>
  <si>
    <t xml:space="preserve">KDMF-10</t>
  </si>
  <si>
    <t xml:space="preserve">Testosterone undecanoate</t>
  </si>
  <si>
    <t xml:space="preserve">KDMF-11</t>
  </si>
  <si>
    <t xml:space="preserve">Desoximetasone</t>
  </si>
  <si>
    <t xml:space="preserve">OTH-01</t>
  </si>
  <si>
    <t xml:space="preserve">Other: CDSCO (India)</t>
  </si>
  <si>
    <t xml:space="preserve">Exact (CDSCO WC)</t>
  </si>
  <si>
    <t xml:space="preserve">Indian regulator inspection for EU Written Confirmation WC-0161</t>
  </si>
  <si>
    <t xml:space="preserve">WC granted Jun-2022, valid to 02-Jul-2025</t>
  </si>
  <si>
    <t xml:space="preserve">WC-0161</t>
  </si>
  <si>
    <t xml:space="preserve">Not one of the five agencies requested (memo).</t>
  </si>
  <si>
    <t xml:space="preserve">https://cdsco.gov.in/opencms/resources/UploadCDSCOWeb/2018/UploadInternationalCell/WC%20-0161%20-Symbiotec%20(2).pdf</t>
  </si>
  <si>
    <t xml:space="preserve">Method, key sources, conflicts and open gaps</t>
  </si>
  <si>
    <t xml:space="preserve">Method</t>
  </si>
  <si>
    <t xml:space="preserve">- Exa web search/fetch across FDA-derived datasets, EudraGMDP mirrors, Brazil DOU, PMDA/MHLW lists, IPO offer documents, exchange filings, ratings and news; five parallel research streams, then de-duplicated.</t>
  </si>
  <si>
    <t xml:space="preserve">- FDA dashboard rows are one per project area; duplicates collapsed using FDA inspection IDs. Sites resolved by FEI.</t>
  </si>
  <si>
    <t xml:space="preserve">- 'Inspection' = an on-site or remote GMP inspection/assessment by the agency. Certificates/accreditations granted without a recorded site visit are logged but not counted.</t>
  </si>
  <si>
    <t xml:space="preserve">Key primary sources</t>
  </si>
  <si>
    <t xml:space="preserve">- DRHP 19-Dec-2025: https://nsearchives.nseindia.com/corporate/Registration_19122025164857_DRHP_fillingversion.pdf</t>
  </si>
  <si>
    <t xml:space="preserve">- RHP 18-Aug-2026: https://www.sebi.gov.in/sebi_data/attachdocs/aug-2026/1787119258529.pdf</t>
  </si>
  <si>
    <t xml:space="preserve">- Q1FY27 investor release 21-Sep-2026: https://nsearchives.nseindia.com/corporate/SYMBIOTEC_21092026195951_SymbiotecInvestorReleaseQ1FY2027.pdf</t>
  </si>
  <si>
    <t xml:space="preserve">- NSE filing 29-Sep-2026 (Pithampur EIR, VAI): https://nsearchives.nseindia.com/corporate/SYMBIOTEC_29092026105720_SymbiotecUSFDAApprovalSEZ.pdf</t>
  </si>
  <si>
    <t xml:space="preserve">- FDA Form 483s (FOIA, via ProPublica): 2017 https://static.propublica.org/fda-inspection-documents/483s/2024-3040%2F483s%2F2018-10239encl2.pdf | 2019 https://static.propublica.org/fda-inspection-documents/483s/2024-3040%2F483s%2F19008449_enc7_320.pdf | 2022 https://static.propublica.org/fda-inspection-documents/483s/2024-10376%2F483s%2F2024-9235%2F2022-8697encl20.pdf</t>
  </si>
  <si>
    <t xml:space="preserve">- AIFA EU GMP non-compliance notice 08-Apr-2020: https://www.aifa.gov.it/-/statement-non-compliance-gmp-officina-farmaceutica-symbiotec-pharmalab-ltd-india</t>
  </si>
  <si>
    <t xml:space="preserve">- Brazil DOU Resolucoes-RE: https://www.in.gov.br/en/web/dou/-/resolucao-re-n-2.493-de-7-de-julho-de-2023-495194889 | https://www.in.gov.br/en/web/dou/-/resolucao-re-n-1.915-de-16-de-maio-de-2024-560728209 | https://www.in.gov.br/en/web/dou/-/resolucao-re-n-2.573-de-10-de-julho-de-2025-641600254 | https://www.in.gov.br/en/web/dou/-/resolucao-re-n-3.099-de-14-de-agosto-de-2025-648884164</t>
  </si>
  <si>
    <t xml:space="preserve">- MHLW/PMDA foreign manufacturer accreditation list (16-Oct-2026): https://www.pmda.go.jp/files/000283243.pdf</t>
  </si>
  <si>
    <t xml:space="preserve">Conflicts</t>
  </si>
  <si>
    <t xml:space="preserve">- Jul-2019 Pithampur: FDA dashboard data (via 2 aggregators) = OAI, vs DRHP 'subsequently received approval' and CARE 'no major observations since inception'.</t>
  </si>
  <si>
    <t xml:space="preserve">- Apr-2020 EU GMP non-compliance (Rau sterile) vs company's 'EU-GMP (18 years)' continuous-accreditation claim; not mentioned in DRHP/RHP.</t>
  </si>
  <si>
    <t xml:space="preserve">- Pithampur 'last US FDA inspection 2023' (DRHP/RHP) is absent from FDA's classification dashboard (last pre-2026 entry Sep-2022) - consistent with a pre-approval inspection.</t>
  </si>
  <si>
    <t xml:space="preserve">- Rau: Redica lists a 17-Jan-2023 inspection; DRHP says Rau's last FDA inspection was 2019.</t>
  </si>
  <si>
    <t xml:space="preserve">- Rau FDA 2026 inspection ended 03-Apr-2026: FY27 by end date, but company appears to count it in FY26.</t>
  </si>
  <si>
    <t xml:space="preserve">Open gaps (need direct EudraGMDP / FDA dashboard / regulator access)</t>
  </si>
  <si>
    <t xml:space="preserve">- EU: inspection dates behind the 2015, 2018, 21-Apr-2023 and 22-Feb-2024 certificates; issuer, inspection date and withdrawal date of the 2020 non-compliance statement.</t>
  </si>
  <si>
    <t xml:space="preserve">- FDA: start dates for Rau inspections (2017, 2019 x2, 2026) and Pithampur 2015/2023; 483 counts for Rau inspections; confirmation of the 2019 OAI on FDA's own dashboard.</t>
  </si>
  <si>
    <t xml:space="preserve">- ANVISA / PMDA / MFDS: no dated inspection exists in public sources; the company's undated claims cannot be placed in a fiscal year beyond the FY23/FY25 residuals.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</si>
</sst>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;\-0;\-"/>
    <numFmt numFmtId="166" formatCode="dd\-mmm\-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8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u val="single"/>
      <sz val="9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F4E79"/>
      </patternFill>
    </fill>
    <fill>
      <patternFill patternType="solid">
        <fgColor rgb="FFF2F4F7"/>
        <bgColor rgb="FFFFFFFF"/>
      </patternFill>
    </fill>
    <fill>
      <patternFill patternType="solid">
        <fgColor rgb="FFE3E8EF"/>
        <bgColor rgb="FFDCEAF8"/>
      </patternFill>
    </fill>
    <fill>
      <patternFill patternType="solid">
        <fgColor rgb="FFFBE3E3"/>
        <bgColor rgb="FFE3E8EF"/>
      </patternFill>
    </fill>
    <fill>
      <patternFill patternType="solid">
        <fgColor rgb="FFDCEAF8"/>
        <bgColor rgb="FFE3E8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BE3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7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3"/>
      <rgbColor rgb="FF878787"/>
      <rgbColor rgb="FF9999FF"/>
      <rgbColor rgb="FF993366"/>
      <rgbColor rgb="FFF2F4F7"/>
      <rgbColor rgb="FFDC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EF"/>
      <rgbColor rgb="FFCCFFCC"/>
      <rgbColor rgb="FFFFFF99"/>
      <rgbColor rgb="FF99CCFF"/>
      <rgbColor rgb="FFFF99CC"/>
      <rgbColor rgb="FFCC99FF"/>
      <rgbColor rgb="FFFBE3E3"/>
      <rgbColor rgb="FF2A78D6"/>
      <rgbColor rgb="FF33CCCC"/>
      <rgbColor rgb="FF99CC00"/>
      <rgbColor rgb="FFFFCC00"/>
      <rgbColor rgb="FFFF9900"/>
      <rgbColor rgb="FFEB6834"/>
      <rgbColor rgb="FF555555"/>
      <rgbColor rgb="FF969696"/>
      <rgbColor rgb="FF1F3A5F"/>
      <rgbColor rgb="FF1BAF7A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Regulatory inspections per fiscal year - Rau + Pithampur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"US FDA"</c:f>
              <c:strCache>
                <c:ptCount val="1"/>
                <c:pt idx="0">
                  <c:v>US FDA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'Time Series'!$C$5:$M$5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  <c:lvl>
                  <c:pt idx="0">
                    <c:v>FY20</c:v>
                  </c:pt>
                </c:lvl>
                <c:lvl>
                  <c:pt idx="0">
                    <c:v>FY19</c:v>
                  </c:pt>
                </c:lvl>
                <c:lvl>
                  <c:pt idx="0">
                    <c:v>FY18</c:v>
                  </c:pt>
                </c:lvl>
                <c:lvl>
                  <c:pt idx="0">
                    <c:v>FY17</c:v>
                  </c:pt>
                </c:lvl>
                <c:lvl>
                  <c:pt idx="0">
                    <c:v>FY16</c:v>
                  </c:pt>
                </c:lvl>
              </c:multiLvlStrCache>
            </c:multiLvlStrRef>
          </c:cat>
          <c:val>
            <c:numRef>
              <c:f>'Time Series'!$C$17:$M$17</c:f>
              <c:numCache>
                <c:formatCode>0;\-0;\-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</c:ser>
        <c:ser>
          <c:idx val="1"/>
          <c:order val="1"/>
          <c:tx>
            <c:strRef>
              <c:f>"EU-GMP"</c:f>
              <c:strCache>
                <c:ptCount val="1"/>
                <c:pt idx="0">
                  <c:v>EU-GMP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'Time Series'!$C$5:$M$5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  <c:lvl>
                  <c:pt idx="0">
                    <c:v>FY20</c:v>
                  </c:pt>
                </c:lvl>
                <c:lvl>
                  <c:pt idx="0">
                    <c:v>FY19</c:v>
                  </c:pt>
                </c:lvl>
                <c:lvl>
                  <c:pt idx="0">
                    <c:v>FY18</c:v>
                  </c:pt>
                </c:lvl>
                <c:lvl>
                  <c:pt idx="0">
                    <c:v>FY17</c:v>
                  </c:pt>
                </c:lvl>
                <c:lvl>
                  <c:pt idx="0">
                    <c:v>FY16</c:v>
                  </c:pt>
                </c:lvl>
              </c:multiLvlStrCache>
            </c:multiLvlStrRef>
          </c:cat>
          <c:val>
            <c:numRef>
              <c:f>'Time Series'!$C$18:$M$18</c:f>
              <c:numCache>
                <c:formatCode>0;\-0;\-</c:formatCode>
                <c:ptCount val="1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</c:ser>
        <c:ser>
          <c:idx val="2"/>
          <c:order val="2"/>
          <c:tx>
            <c:strRef>
              <c:f>"Unattributed (company-disclosed; likely ANVISA / PMDA / KFDA)"</c:f>
              <c:strCache>
                <c:ptCount val="1"/>
                <c:pt idx="0">
                  <c:v>Unattributed (company-disclosed; likely ANVISA / PMDA / KFDA)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'Time Series'!$C$5:$M$5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  <c:lvl>
                  <c:pt idx="0">
                    <c:v>FY20</c:v>
                  </c:pt>
                </c:lvl>
                <c:lvl>
                  <c:pt idx="0">
                    <c:v>FY19</c:v>
                  </c:pt>
                </c:lvl>
                <c:lvl>
                  <c:pt idx="0">
                    <c:v>FY18</c:v>
                  </c:pt>
                </c:lvl>
                <c:lvl>
                  <c:pt idx="0">
                    <c:v>FY17</c:v>
                  </c:pt>
                </c:lvl>
                <c:lvl>
                  <c:pt idx="0">
                    <c:v>FY16</c:v>
                  </c:pt>
                </c:lvl>
              </c:multiLvlStrCache>
            </c:multiLvlStrRef>
          </c:cat>
          <c:val>
            <c:numRef>
              <c:f>'Time Series'!$C$22:$M$22</c:f>
              <c:numCache>
                <c:formatCode>0;\-0;\-</c:formatCode>
                <c:ptCount val="11"/>
                <c:pt idx="7">
                  <c:v>2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</c:numCache>
            </c:numRef>
          </c:val>
        </c:ser>
        <c:gapWidth val="60"/>
        <c:overlap val="100"/>
        <c:axId val="36409177"/>
        <c:axId val="41400235"/>
      </c:barChart>
      <c:catAx>
        <c:axId val="364091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00235"/>
        <c:crosses val="autoZero"/>
        <c:auto val="1"/>
        <c:lblAlgn val="ctr"/>
        <c:lblOffset val="100"/>
        <c:noMultiLvlLbl val="0"/>
      </c:catAx>
      <c:valAx>
        <c:axId val="4140023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Inspections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;\-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091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23</xdr:row>
      <xdr:rowOff>119880</xdr:rowOff>
    </xdr:to>
    <xdr:graphicFrame>
      <xdr:nvGraphicFramePr>
        <xdr:cNvPr id="0" name="Chart 1"/>
        <xdr:cNvGraphicFramePr/>
      </xdr:nvGraphicFramePr>
      <xdr:xfrm>
        <a:off x="0" y="57168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projects.propublica.org/rx-inspector/facilities/3009298759/" TargetMode="External"/><Relationship Id="rId2" Type="http://schemas.openxmlformats.org/officeDocument/2006/relationships/hyperlink" Target="https://www.pharmacompass.com/fda-inspection/symbiotec-pharmalab" TargetMode="External"/><Relationship Id="rId3" Type="http://schemas.openxmlformats.org/officeDocument/2006/relationships/hyperlink" Target="https://static.propublica.org/fda-inspection-documents/483s/2024-3040%2F483s%2F2018-10239encl2.pdf" TargetMode="External"/><Relationship Id="rId4" Type="http://schemas.openxmlformats.org/officeDocument/2006/relationships/hyperlink" Target="https://projects.propublica.org/rx-inspector/facilities/3009298759/" TargetMode="External"/><Relationship Id="rId5" Type="http://schemas.openxmlformats.org/officeDocument/2006/relationships/hyperlink" Target="https://projects.propublica.org/rx-inspector/facilities/3005122933/" TargetMode="External"/><Relationship Id="rId6" Type="http://schemas.openxmlformats.org/officeDocument/2006/relationships/hyperlink" Target="https://www.pharmacompass.com/fda-inspection/symbiotec-pharmalab" TargetMode="External"/><Relationship Id="rId7" Type="http://schemas.openxmlformats.org/officeDocument/2006/relationships/hyperlink" Target="https://static.propublica.org/fda-inspection-documents/483s/2024-3040%2F483s%2F19008449_enc7_320.pdf" TargetMode="External"/><Relationship Id="rId8" Type="http://schemas.openxmlformats.org/officeDocument/2006/relationships/hyperlink" Target="https://www.suppliervigil.com/suppliers/symbiotec-pharmalab-limited" TargetMode="External"/><Relationship Id="rId9" Type="http://schemas.openxmlformats.org/officeDocument/2006/relationships/hyperlink" Target="https://www.keypedia.com/records/fda_inspections/symbiotec-pharmalab-private-limited/b0ba173d-b65b-43a0-8818-8865313a6c3b" TargetMode="External"/><Relationship Id="rId10" Type="http://schemas.openxmlformats.org/officeDocument/2006/relationships/hyperlink" Target="https://projects.propublica.org/rx-inspector/facilities/3005122933/" TargetMode="External"/><Relationship Id="rId11" Type="http://schemas.openxmlformats.org/officeDocument/2006/relationships/hyperlink" Target="https://www.keypedia.com/records/fda_inspections/symbiotec-pharmalab-private-limited/87bf2ce3-bf0d-4a25-bbbc-41c49e4acebc" TargetMode="External"/><Relationship Id="rId12" Type="http://schemas.openxmlformats.org/officeDocument/2006/relationships/hyperlink" Target="https://www.pharmacompass.com/fda-inspection/symbiotec-pharmalab" TargetMode="External"/><Relationship Id="rId13" Type="http://schemas.openxmlformats.org/officeDocument/2006/relationships/hyperlink" Target="https://static.propublica.org/fda-inspection-documents/483s/2024-10376%2F483s%2F2024-9235%2F2022-8697encl20.pdf" TargetMode="External"/><Relationship Id="rId14" Type="http://schemas.openxmlformats.org/officeDocument/2006/relationships/hyperlink" Target="https://projects.propublica.org/rx-inspector/facilities/3009298759/" TargetMode="External"/><Relationship Id="rId15" Type="http://schemas.openxmlformats.org/officeDocument/2006/relationships/hyperlink" Target="https://nsearchives.nseindia.com/corporate/Registration_19122025164857_DRHP_fillingversion.pdf" TargetMode="External"/><Relationship Id="rId16" Type="http://schemas.openxmlformats.org/officeDocument/2006/relationships/hyperlink" Target="https://redica.com/document-store/sites/siteprofile/100013374/symbiotec-pharmalab-private-limited-pithampur-m-india" TargetMode="External"/><Relationship Id="rId17" Type="http://schemas.openxmlformats.org/officeDocument/2006/relationships/hyperlink" Target="https://nsearchives.nseindia.com/corporate/SYMBIOTEC_21092026195951_SymbiotecInvestorReleaseQ1FY2027.pdf" TargetMode="External"/><Relationship Id="rId18" Type="http://schemas.openxmlformats.org/officeDocument/2006/relationships/hyperlink" Target="https://www.keypedia.com/records/fda_inspections/symbiotec-pharmalab-private-limited/6a9a8083-0914-4550-91a6-a546311d6e24" TargetMode="External"/><Relationship Id="rId19" Type="http://schemas.openxmlformats.org/officeDocument/2006/relationships/hyperlink" Target="https://nsearchives.nseindia.com/corporate/SYMBIOTEC_29092026105720_SymbiotecUSFDAApprovalSEZ.pdf" TargetMode="External"/><Relationship Id="rId20" Type="http://schemas.openxmlformats.org/officeDocument/2006/relationships/hyperlink" Target="https://www.sebi.gov.in/sebi_data/attachdocs/aug-2026/1787119258529.pdf" TargetMode="External"/><Relationship Id="rId21" Type="http://schemas.openxmlformats.org/officeDocument/2006/relationships/hyperlink" Target="https://redica.com/document-store/sites/siteprofile/100194580/symbiotec-pharmalab-private-limited-rau-india" TargetMode="External"/><Relationship Id="rId22" Type="http://schemas.openxmlformats.org/officeDocument/2006/relationships/hyperlink" Target="https://nsearchives.nseindia.com/corporate/Registration_19122025164857_DRHP_fillingversion.pdf" TargetMode="External"/><Relationship Id="rId23" Type="http://schemas.openxmlformats.org/officeDocument/2006/relationships/hyperlink" Target="https://www.symbiotec.in/about-us/milestone/" TargetMode="External"/><Relationship Id="rId24" Type="http://schemas.openxmlformats.org/officeDocument/2006/relationships/hyperlink" Target="https://www.symbiotec.in/about-us/milestone/" TargetMode="External"/><Relationship Id="rId25" Type="http://schemas.openxmlformats.org/officeDocument/2006/relationships/hyperlink" Target="https://www.symbiotec.in/about-us/milestone/" TargetMode="External"/><Relationship Id="rId26" Type="http://schemas.openxmlformats.org/officeDocument/2006/relationships/hyperlink" Target="https://www.symbiotec.in/about-us/milestone/" TargetMode="External"/><Relationship Id="rId27" Type="http://schemas.openxmlformats.org/officeDocument/2006/relationships/hyperlink" Target="https://www.aifa.gov.it/-/statement-non-compliance-gmp-officina-farmaceutica-symbiotec-pharmalab-ltd-india" TargetMode="External"/><Relationship Id="rId28" Type="http://schemas.openxmlformats.org/officeDocument/2006/relationships/hyperlink" Target="https://www.johnsnowlabs.com/marketplace/ema-good-manufacturing-practice-certificates-of-non-eea-countries/" TargetMode="External"/><Relationship Id="rId29" Type="http://schemas.openxmlformats.org/officeDocument/2006/relationships/hyperlink" Target="https://www.pharmacompass.com/edqm-gmp/symbiotec-pharmalab" TargetMode="External"/><Relationship Id="rId30" Type="http://schemas.openxmlformats.org/officeDocument/2006/relationships/hyperlink" Target="https://www.pharmacompass.com/edqm-gmp/symbiotec-pharmalab" TargetMode="External"/><Relationship Id="rId31" Type="http://schemas.openxmlformats.org/officeDocument/2006/relationships/hyperlink" Target="https://www.pharmajungle.com/eudra-gmp" TargetMode="External"/><Relationship Id="rId32" Type="http://schemas.openxmlformats.org/officeDocument/2006/relationships/hyperlink" Target="https://nsearchives.nseindia.com/corporate/SYMBIOTEC_21092026195951_SymbiotecInvestorReleaseQ1FY2027.pdf" TargetMode="External"/><Relationship Id="rId33" Type="http://schemas.openxmlformats.org/officeDocument/2006/relationships/hyperlink" Target="https://www.pharmajungle.com/eudra-gmp" TargetMode="External"/><Relationship Id="rId34" Type="http://schemas.openxmlformats.org/officeDocument/2006/relationships/hyperlink" Target="https://nsearchives.nseindia.com/corporate/SYMBIOTEC_21092026195951_SymbiotecInvestorReleaseQ1FY2027.pdf" TargetMode="External"/><Relationship Id="rId35" Type="http://schemas.openxmlformats.org/officeDocument/2006/relationships/hyperlink" Target="https://www.in.gov.br/en/web/dou/-/resolucao-re-n-2.493-de-7-de-julho-de-2023-495194889" TargetMode="External"/><Relationship Id="rId36" Type="http://schemas.openxmlformats.org/officeDocument/2006/relationships/hyperlink" Target="https://www.in.gov.br/en/web/dou/-/resolucao-re-n-1.915-de-16-de-maio-de-2024-560728209" TargetMode="External"/><Relationship Id="rId37" Type="http://schemas.openxmlformats.org/officeDocument/2006/relationships/hyperlink" Target="https://www.in.gov.br/en/web/dou/-/resolucao-re-n-2.573-de-10-de-julho-de-2025-641600254" TargetMode="External"/><Relationship Id="rId38" Type="http://schemas.openxmlformats.org/officeDocument/2006/relationships/hyperlink" Target="https://www.in.gov.br/en/web/dou/-/resolucao-re-n-3.099-de-14-de-agosto-de-2025-648884164" TargetMode="External"/><Relationship Id="rId39" Type="http://schemas.openxmlformats.org/officeDocument/2006/relationships/hyperlink" Target="https://www.in.gov.br/en/web/dou/-/resolucao-re-n-2.008-de-14-de-maio-de-2026-706287958" TargetMode="External"/><Relationship Id="rId40" Type="http://schemas.openxmlformats.org/officeDocument/2006/relationships/hyperlink" Target="https://nsearchives.nseindia.com/corporate/Registration_19122025164857_DRHP_fillingversion.pdf" TargetMode="External"/><Relationship Id="rId41" Type="http://schemas.openxmlformats.org/officeDocument/2006/relationships/hyperlink" Target="https://www.sebi.gov.in/sebi_data/attachdocs/aug-2026/1787119258529.pdf" TargetMode="External"/><Relationship Id="rId42" Type="http://schemas.openxmlformats.org/officeDocument/2006/relationships/hyperlink" Target="https://www.pmda.go.jp/files/000283243.pdf" TargetMode="External"/><Relationship Id="rId43" Type="http://schemas.openxmlformats.org/officeDocument/2006/relationships/hyperlink" Target="https://www.pmda.go.jp/files/000161368.pdf" TargetMode="External"/><Relationship Id="rId44" Type="http://schemas.openxmlformats.org/officeDocument/2006/relationships/hyperlink" Target="https://www.pmda.go.jp/files/000283243.pdf" TargetMode="External"/><Relationship Id="rId45" Type="http://schemas.openxmlformats.org/officeDocument/2006/relationships/hyperlink" Target="https://www.pmda.go.jp/files/000240885.pdf" TargetMode="External"/><Relationship Id="rId46" Type="http://schemas.openxmlformats.org/officeDocument/2006/relationships/hyperlink" Target="https://www.pmda.go.jp/files/000240885.pdf" TargetMode="External"/><Relationship Id="rId47" Type="http://schemas.openxmlformats.org/officeDocument/2006/relationships/hyperlink" Target="https://nsearchives.nseindia.com/corporate/Registration_19122025164857_DRHP_fillingversion.pdf" TargetMode="External"/><Relationship Id="rId48" Type="http://schemas.openxmlformats.org/officeDocument/2006/relationships/hyperlink" Target="https://www.sebi.gov.in/sebi_data/attachdocs/aug-2026/1787119258529.pdf" TargetMode="External"/><Relationship Id="rId49" Type="http://schemas.openxmlformats.org/officeDocument/2006/relationships/hyperlink" Target="https://www.sebi.gov.in/sebi_data/attachdocs/aug-2026/1787119258529.pdf" TargetMode="External"/><Relationship Id="rId50" Type="http://schemas.openxmlformats.org/officeDocument/2006/relationships/hyperlink" Target="https://nsearchives.nseindia.com/corporate/SYMBIOTEC_21092026195544_SymbiotecInvestorPresentationQ1FY2027.pdf" TargetMode="External"/><Relationship Id="rId51" Type="http://schemas.openxmlformats.org/officeDocument/2006/relationships/hyperlink" Target="https://www.pharmacompass.com/korea-drug-master-files-dmfs/symbiotec-pharmalab" TargetMode="External"/><Relationship Id="rId52" Type="http://schemas.openxmlformats.org/officeDocument/2006/relationships/hyperlink" Target="https://www.pharmacompass.com/korea-drug-master-files-dmfs/symbiotec-pharmalab" TargetMode="External"/><Relationship Id="rId53" Type="http://schemas.openxmlformats.org/officeDocument/2006/relationships/hyperlink" Target="https://www.pharmacompass.com/korea-drug-master-files-dmfs/symbiotec-pharmalab" TargetMode="External"/><Relationship Id="rId54" Type="http://schemas.openxmlformats.org/officeDocument/2006/relationships/hyperlink" Target="https://www.pharmacompass.com/korea-drug-master-files-dmfs/symbiotec-pharmalab" TargetMode="External"/><Relationship Id="rId55" Type="http://schemas.openxmlformats.org/officeDocument/2006/relationships/hyperlink" Target="https://www.pharmacompass.com/korea-drug-master-files-dmfs/symbiotec-pharmalab" TargetMode="External"/><Relationship Id="rId56" Type="http://schemas.openxmlformats.org/officeDocument/2006/relationships/hyperlink" Target="https://www.pharmacompass.com/korea-drug-master-files-dmfs/symbiotec-pharmalab" TargetMode="External"/><Relationship Id="rId57" Type="http://schemas.openxmlformats.org/officeDocument/2006/relationships/hyperlink" Target="https://www.pharmacompass.com/korea-drug-master-files-dmfs/symbiotec-pharmalab" TargetMode="External"/><Relationship Id="rId58" Type="http://schemas.openxmlformats.org/officeDocument/2006/relationships/hyperlink" Target="https://www.pharmacompass.com/korea-drug-master-files-dmfs/symbiotec-pharmalab" TargetMode="External"/><Relationship Id="rId59" Type="http://schemas.openxmlformats.org/officeDocument/2006/relationships/hyperlink" Target="https://www.pharmacompass.com/korea-drug-master-files-dmfs/symbiotec-pharmalab" TargetMode="External"/><Relationship Id="rId60" Type="http://schemas.openxmlformats.org/officeDocument/2006/relationships/hyperlink" Target="https://www.pharmacompass.com/korea-drug-master-files-dmfs/symbiotec-pharmalab" TargetMode="External"/><Relationship Id="rId61" Type="http://schemas.openxmlformats.org/officeDocument/2006/relationships/hyperlink" Target="https://www.pharmacompass.com/korea-drug-master-files-dmfs/symbiotec-pharmalab" TargetMode="External"/><Relationship Id="rId62" Type="http://schemas.openxmlformats.org/officeDocument/2006/relationships/hyperlink" Target="https://cdsco.gov.in/opencms/resources/UploadCDSCOWeb/2018/UploadInternationalCell/WC%20-0161%20-Symbiotec%20(2).pdf" TargetMode="External"/><Relationship Id="rId63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13" min="3" style="0" width="12.5"/>
    <col collapsed="false" customWidth="true" hidden="false" outlineLevel="0" max="14" min="14" style="0" width="11"/>
    <col collapsed="false" customWidth="true" hidden="false" outlineLevel="0" max="15" min="15" style="0" width="12.5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customFormat="false" ht="23.8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customFormat="false" ht="15" hidden="false" customHeight="false" outlineLevel="0" collapsed="false">
      <c r="A6" s="4" t="s">
        <v>17</v>
      </c>
      <c r="B6" s="4" t="s">
        <v>18</v>
      </c>
      <c r="C6" s="5" t="n">
        <f aca="false">COUNTIFS('Event Log'!$B$5:$B$49,$A6,'Event Log'!$C$5:$C$49,$B6,'Event Log'!$D$5:$D$49,C$5,'Event Log'!$I$5:$I$49,"Yes")</f>
        <v>0</v>
      </c>
      <c r="D6" s="5" t="n">
        <f aca="false">COUNTIFS('Event Log'!$B$5:$B$49,$A6,'Event Log'!$C$5:$C$49,$B6,'Event Log'!$D$5:$D$49,D$5,'Event Log'!$I$5:$I$49,"Yes")</f>
        <v>0</v>
      </c>
      <c r="E6" s="5" t="n">
        <f aca="false">COUNTIFS('Event Log'!$B$5:$B$49,$A6,'Event Log'!$C$5:$C$49,$B6,'Event Log'!$D$5:$D$49,E$5,'Event Log'!$I$5:$I$49,"Yes")</f>
        <v>1</v>
      </c>
      <c r="F6" s="5" t="n">
        <f aca="false">COUNTIFS('Event Log'!$B$5:$B$49,$A6,'Event Log'!$C$5:$C$49,$B6,'Event Log'!$D$5:$D$49,F$5,'Event Log'!$I$5:$I$49,"Yes")</f>
        <v>0</v>
      </c>
      <c r="G6" s="5" t="n">
        <f aca="false">COUNTIFS('Event Log'!$B$5:$B$49,$A6,'Event Log'!$C$5:$C$49,$B6,'Event Log'!$D$5:$D$49,G$5,'Event Log'!$I$5:$I$49,"Yes")</f>
        <v>2</v>
      </c>
      <c r="H6" s="5" t="n">
        <f aca="false">COUNTIFS('Event Log'!$B$5:$B$49,$A6,'Event Log'!$C$5:$C$49,$B6,'Event Log'!$D$5:$D$49,H$5,'Event Log'!$I$5:$I$49,"Yes")</f>
        <v>0</v>
      </c>
      <c r="I6" s="5" t="n">
        <f aca="false">COUNTIFS('Event Log'!$B$5:$B$49,$A6,'Event Log'!$C$5:$C$49,$B6,'Event Log'!$D$5:$D$49,I$5,'Event Log'!$I$5:$I$49,"Yes")</f>
        <v>0</v>
      </c>
      <c r="J6" s="5" t="n">
        <f aca="false">COUNTIFS('Event Log'!$B$5:$B$49,$A6,'Event Log'!$C$5:$C$49,$B6,'Event Log'!$D$5:$D$49,J$5,'Event Log'!$I$5:$I$49,"Yes")</f>
        <v>0</v>
      </c>
      <c r="K6" s="5" t="n">
        <f aca="false">COUNTIFS('Event Log'!$B$5:$B$49,$A6,'Event Log'!$C$5:$C$49,$B6,'Event Log'!$D$5:$D$49,K$5,'Event Log'!$I$5:$I$49,"Yes")</f>
        <v>0</v>
      </c>
      <c r="L6" s="5" t="n">
        <f aca="false">COUNTIFS('Event Log'!$B$5:$B$49,$A6,'Event Log'!$C$5:$C$49,$B6,'Event Log'!$D$5:$D$49,L$5,'Event Log'!$I$5:$I$49,"Yes")</f>
        <v>0</v>
      </c>
      <c r="M6" s="5" t="n">
        <f aca="false">COUNTIFS('Event Log'!$B$5:$B$49,$A6,'Event Log'!$C$5:$C$49,$B6,'Event Log'!$D$5:$D$49,M$5,'Event Log'!$I$5:$I$49,"Yes")</f>
        <v>1</v>
      </c>
      <c r="N6" s="5" t="n">
        <f aca="false">SUM(C6:M6)</f>
        <v>4</v>
      </c>
      <c r="O6" s="5" t="n">
        <f aca="false">COUNTIFS('Event Log'!$B$5:$B$49,$A6,'Event Log'!$C$5:$C$49,$B6,'Event Log'!$D$5:$D$49,"FY27",'Event Log'!$I$5:$I$49,"Yes")</f>
        <v>0</v>
      </c>
    </row>
    <row r="7" customFormat="false" ht="15" hidden="false" customHeight="false" outlineLevel="0" collapsed="false">
      <c r="A7" s="4" t="s">
        <v>17</v>
      </c>
      <c r="B7" s="4" t="s">
        <v>19</v>
      </c>
      <c r="C7" s="5" t="n">
        <f aca="false">COUNTIFS('Event Log'!$B$5:$B$49,$A7,'Event Log'!$C$5:$C$49,$B7,'Event Log'!$D$5:$D$49,C$5,'Event Log'!$I$5:$I$49,"Yes")</f>
        <v>1</v>
      </c>
      <c r="D7" s="5" t="n">
        <f aca="false">COUNTIFS('Event Log'!$B$5:$B$49,$A7,'Event Log'!$C$5:$C$49,$B7,'Event Log'!$D$5:$D$49,D$5,'Event Log'!$I$5:$I$49,"Yes")</f>
        <v>0</v>
      </c>
      <c r="E7" s="5" t="n">
        <f aca="false">COUNTIFS('Event Log'!$B$5:$B$49,$A7,'Event Log'!$C$5:$C$49,$B7,'Event Log'!$D$5:$D$49,E$5,'Event Log'!$I$5:$I$49,"Yes")</f>
        <v>1</v>
      </c>
      <c r="F7" s="5" t="n">
        <f aca="false">COUNTIFS('Event Log'!$B$5:$B$49,$A7,'Event Log'!$C$5:$C$49,$B7,'Event Log'!$D$5:$D$49,F$5,'Event Log'!$I$5:$I$49,"Yes")</f>
        <v>0</v>
      </c>
      <c r="G7" s="5" t="n">
        <f aca="false">COUNTIFS('Event Log'!$B$5:$B$49,$A7,'Event Log'!$C$5:$C$49,$B7,'Event Log'!$D$5:$D$49,G$5,'Event Log'!$I$5:$I$49,"Yes")</f>
        <v>1</v>
      </c>
      <c r="H7" s="5" t="n">
        <f aca="false">COUNTIFS('Event Log'!$B$5:$B$49,$A7,'Event Log'!$C$5:$C$49,$B7,'Event Log'!$D$5:$D$49,H$5,'Event Log'!$I$5:$I$49,"Yes")</f>
        <v>0</v>
      </c>
      <c r="I7" s="5" t="n">
        <f aca="false">COUNTIFS('Event Log'!$B$5:$B$49,$A7,'Event Log'!$C$5:$C$49,$B7,'Event Log'!$D$5:$D$49,I$5,'Event Log'!$I$5:$I$49,"Yes")</f>
        <v>0</v>
      </c>
      <c r="J7" s="5" t="n">
        <f aca="false">COUNTIFS('Event Log'!$B$5:$B$49,$A7,'Event Log'!$C$5:$C$49,$B7,'Event Log'!$D$5:$D$49,J$5,'Event Log'!$I$5:$I$49,"Yes")</f>
        <v>1</v>
      </c>
      <c r="K7" s="5" t="n">
        <f aca="false">COUNTIFS('Event Log'!$B$5:$B$49,$A7,'Event Log'!$C$5:$C$49,$B7,'Event Log'!$D$5:$D$49,K$5,'Event Log'!$I$5:$I$49,"Yes")</f>
        <v>1</v>
      </c>
      <c r="L7" s="5" t="n">
        <f aca="false">COUNTIFS('Event Log'!$B$5:$B$49,$A7,'Event Log'!$C$5:$C$49,$B7,'Event Log'!$D$5:$D$49,L$5,'Event Log'!$I$5:$I$49,"Yes")</f>
        <v>0</v>
      </c>
      <c r="M7" s="5" t="n">
        <f aca="false">COUNTIFS('Event Log'!$B$5:$B$49,$A7,'Event Log'!$C$5:$C$49,$B7,'Event Log'!$D$5:$D$49,M$5,'Event Log'!$I$5:$I$49,"Yes")</f>
        <v>0</v>
      </c>
      <c r="N7" s="5" t="n">
        <f aca="false">SUM(C7:M7)</f>
        <v>5</v>
      </c>
      <c r="O7" s="5" t="n">
        <f aca="false">COUNTIFS('Event Log'!$B$5:$B$49,$A7,'Event Log'!$C$5:$C$49,$B7,'Event Log'!$D$5:$D$49,"FY27",'Event Log'!$I$5:$I$49,"Yes")</f>
        <v>1</v>
      </c>
    </row>
    <row r="8" customFormat="false" ht="15" hidden="false" customHeight="false" outlineLevel="0" collapsed="false">
      <c r="A8" s="6" t="s">
        <v>20</v>
      </c>
      <c r="B8" s="6" t="s">
        <v>18</v>
      </c>
      <c r="C8" s="7" t="n">
        <f aca="false">COUNTIFS('Event Log'!$B$5:$B$49,$A8,'Event Log'!$C$5:$C$49,$B8,'Event Log'!$D$5:$D$49,C$5,'Event Log'!$I$5:$I$49,"Yes")</f>
        <v>1</v>
      </c>
      <c r="D8" s="7" t="n">
        <f aca="false">COUNTIFS('Event Log'!$B$5:$B$49,$A8,'Event Log'!$C$5:$C$49,$B8,'Event Log'!$D$5:$D$49,D$5,'Event Log'!$I$5:$I$49,"Yes")</f>
        <v>0</v>
      </c>
      <c r="E8" s="7" t="n">
        <f aca="false">COUNTIFS('Event Log'!$B$5:$B$49,$A8,'Event Log'!$C$5:$C$49,$B8,'Event Log'!$D$5:$D$49,E$5,'Event Log'!$I$5:$I$49,"Yes")</f>
        <v>0</v>
      </c>
      <c r="F8" s="7" t="n">
        <f aca="false">COUNTIFS('Event Log'!$B$5:$B$49,$A8,'Event Log'!$C$5:$C$49,$B8,'Event Log'!$D$5:$D$49,F$5,'Event Log'!$I$5:$I$49,"Yes")</f>
        <v>1</v>
      </c>
      <c r="G8" s="7" t="n">
        <f aca="false">COUNTIFS('Event Log'!$B$5:$B$49,$A8,'Event Log'!$C$5:$C$49,$B8,'Event Log'!$D$5:$D$49,G$5,'Event Log'!$I$5:$I$49,"Yes")</f>
        <v>1</v>
      </c>
      <c r="H8" s="7" t="n">
        <f aca="false">COUNTIFS('Event Log'!$B$5:$B$49,$A8,'Event Log'!$C$5:$C$49,$B8,'Event Log'!$D$5:$D$49,H$5,'Event Log'!$I$5:$I$49,"Yes")</f>
        <v>1</v>
      </c>
      <c r="I8" s="7" t="n">
        <f aca="false">COUNTIFS('Event Log'!$B$5:$B$49,$A8,'Event Log'!$C$5:$C$49,$B8,'Event Log'!$D$5:$D$49,I$5,'Event Log'!$I$5:$I$49,"Yes")</f>
        <v>0</v>
      </c>
      <c r="J8" s="7" t="n">
        <f aca="false">COUNTIFS('Event Log'!$B$5:$B$49,$A8,'Event Log'!$C$5:$C$49,$B8,'Event Log'!$D$5:$D$49,J$5,'Event Log'!$I$5:$I$49,"Yes")</f>
        <v>1</v>
      </c>
      <c r="K8" s="7" t="n">
        <f aca="false">COUNTIFS('Event Log'!$B$5:$B$49,$A8,'Event Log'!$C$5:$C$49,$B8,'Event Log'!$D$5:$D$49,K$5,'Event Log'!$I$5:$I$49,"Yes")</f>
        <v>0</v>
      </c>
      <c r="L8" s="7" t="n">
        <f aca="false">COUNTIFS('Event Log'!$B$5:$B$49,$A8,'Event Log'!$C$5:$C$49,$B8,'Event Log'!$D$5:$D$49,L$5,'Event Log'!$I$5:$I$49,"Yes")</f>
        <v>0</v>
      </c>
      <c r="M8" s="7" t="n">
        <f aca="false">COUNTIFS('Event Log'!$B$5:$B$49,$A8,'Event Log'!$C$5:$C$49,$B8,'Event Log'!$D$5:$D$49,M$5,'Event Log'!$I$5:$I$49,"Yes")</f>
        <v>1</v>
      </c>
      <c r="N8" s="7" t="n">
        <f aca="false">SUM(C8:M8)</f>
        <v>6</v>
      </c>
      <c r="O8" s="7" t="n">
        <f aca="false">COUNTIFS('Event Log'!$B$5:$B$49,$A8,'Event Log'!$C$5:$C$49,$B8,'Event Log'!$D$5:$D$49,"FY27",'Event Log'!$I$5:$I$49,"Yes")</f>
        <v>0</v>
      </c>
    </row>
    <row r="9" customFormat="false" ht="15" hidden="false" customHeight="false" outlineLevel="0" collapsed="false">
      <c r="A9" s="6" t="s">
        <v>20</v>
      </c>
      <c r="B9" s="6" t="s">
        <v>19</v>
      </c>
      <c r="C9" s="7" t="n">
        <f aca="false">COUNTIFS('Event Log'!$B$5:$B$49,$A9,'Event Log'!$C$5:$C$49,$B9,'Event Log'!$D$5:$D$49,C$5,'Event Log'!$I$5:$I$49,"Yes")</f>
        <v>1</v>
      </c>
      <c r="D9" s="7" t="n">
        <f aca="false">COUNTIFS('Event Log'!$B$5:$B$49,$A9,'Event Log'!$C$5:$C$49,$B9,'Event Log'!$D$5:$D$49,D$5,'Event Log'!$I$5:$I$49,"Yes")</f>
        <v>0</v>
      </c>
      <c r="E9" s="7" t="n">
        <f aca="false">COUNTIFS('Event Log'!$B$5:$B$49,$A9,'Event Log'!$C$5:$C$49,$B9,'Event Log'!$D$5:$D$49,E$5,'Event Log'!$I$5:$I$49,"Yes")</f>
        <v>0</v>
      </c>
      <c r="F9" s="7" t="n">
        <f aca="false">COUNTIFS('Event Log'!$B$5:$B$49,$A9,'Event Log'!$C$5:$C$49,$B9,'Event Log'!$D$5:$D$49,F$5,'Event Log'!$I$5:$I$49,"Yes")</f>
        <v>1</v>
      </c>
      <c r="G9" s="7" t="n">
        <f aca="false">COUNTIFS('Event Log'!$B$5:$B$49,$A9,'Event Log'!$C$5:$C$49,$B9,'Event Log'!$D$5:$D$49,G$5,'Event Log'!$I$5:$I$49,"Yes")</f>
        <v>0</v>
      </c>
      <c r="H9" s="7" t="n">
        <f aca="false">COUNTIFS('Event Log'!$B$5:$B$49,$A9,'Event Log'!$C$5:$C$49,$B9,'Event Log'!$D$5:$D$49,H$5,'Event Log'!$I$5:$I$49,"Yes")</f>
        <v>0</v>
      </c>
      <c r="I9" s="7" t="n">
        <f aca="false">COUNTIFS('Event Log'!$B$5:$B$49,$A9,'Event Log'!$C$5:$C$49,$B9,'Event Log'!$D$5:$D$49,I$5,'Event Log'!$I$5:$I$49,"Yes")</f>
        <v>0</v>
      </c>
      <c r="J9" s="7" t="n">
        <f aca="false">COUNTIFS('Event Log'!$B$5:$B$49,$A9,'Event Log'!$C$5:$C$49,$B9,'Event Log'!$D$5:$D$49,J$5,'Event Log'!$I$5:$I$49,"Yes")</f>
        <v>0</v>
      </c>
      <c r="K9" s="7" t="n">
        <f aca="false">COUNTIFS('Event Log'!$B$5:$B$49,$A9,'Event Log'!$C$5:$C$49,$B9,'Event Log'!$D$5:$D$49,K$5,'Event Log'!$I$5:$I$49,"Yes")</f>
        <v>1</v>
      </c>
      <c r="L9" s="7" t="n">
        <f aca="false">COUNTIFS('Event Log'!$B$5:$B$49,$A9,'Event Log'!$C$5:$C$49,$B9,'Event Log'!$D$5:$D$49,L$5,'Event Log'!$I$5:$I$49,"Yes")</f>
        <v>0</v>
      </c>
      <c r="M9" s="7" t="n">
        <f aca="false">COUNTIFS('Event Log'!$B$5:$B$49,$A9,'Event Log'!$C$5:$C$49,$B9,'Event Log'!$D$5:$D$49,M$5,'Event Log'!$I$5:$I$49,"Yes")</f>
        <v>1</v>
      </c>
      <c r="N9" s="7" t="n">
        <f aca="false">SUM(C9:M9)</f>
        <v>4</v>
      </c>
      <c r="O9" s="7" t="n">
        <f aca="false">COUNTIFS('Event Log'!$B$5:$B$49,$A9,'Event Log'!$C$5:$C$49,$B9,'Event Log'!$D$5:$D$49,"FY27",'Event Log'!$I$5:$I$49,"Yes")</f>
        <v>0</v>
      </c>
    </row>
    <row r="10" customFormat="false" ht="15" hidden="false" customHeight="false" outlineLevel="0" collapsed="false">
      <c r="A10" s="4" t="s">
        <v>21</v>
      </c>
      <c r="B10" s="4" t="s">
        <v>18</v>
      </c>
      <c r="C10" s="5" t="n">
        <f aca="false">COUNTIFS('Event Log'!$B$5:$B$49,$A10,'Event Log'!$C$5:$C$49,$B10,'Event Log'!$D$5:$D$49,C$5,'Event Log'!$I$5:$I$49,"Yes")</f>
        <v>0</v>
      </c>
      <c r="D10" s="5" t="n">
        <f aca="false">COUNTIFS('Event Log'!$B$5:$B$49,$A10,'Event Log'!$C$5:$C$49,$B10,'Event Log'!$D$5:$D$49,D$5,'Event Log'!$I$5:$I$49,"Yes")</f>
        <v>0</v>
      </c>
      <c r="E10" s="5" t="n">
        <f aca="false">COUNTIFS('Event Log'!$B$5:$B$49,$A10,'Event Log'!$C$5:$C$49,$B10,'Event Log'!$D$5:$D$49,E$5,'Event Log'!$I$5:$I$49,"Yes")</f>
        <v>0</v>
      </c>
      <c r="F10" s="5" t="n">
        <f aca="false">COUNTIFS('Event Log'!$B$5:$B$49,$A10,'Event Log'!$C$5:$C$49,$B10,'Event Log'!$D$5:$D$49,F$5,'Event Log'!$I$5:$I$49,"Yes")</f>
        <v>0</v>
      </c>
      <c r="G10" s="5" t="n">
        <f aca="false">COUNTIFS('Event Log'!$B$5:$B$49,$A10,'Event Log'!$C$5:$C$49,$B10,'Event Log'!$D$5:$D$49,G$5,'Event Log'!$I$5:$I$49,"Yes")</f>
        <v>0</v>
      </c>
      <c r="H10" s="5" t="n">
        <f aca="false">COUNTIFS('Event Log'!$B$5:$B$49,$A10,'Event Log'!$C$5:$C$49,$B10,'Event Log'!$D$5:$D$49,H$5,'Event Log'!$I$5:$I$49,"Yes")</f>
        <v>0</v>
      </c>
      <c r="I10" s="5" t="n">
        <f aca="false">COUNTIFS('Event Log'!$B$5:$B$49,$A10,'Event Log'!$C$5:$C$49,$B10,'Event Log'!$D$5:$D$49,I$5,'Event Log'!$I$5:$I$49,"Yes")</f>
        <v>0</v>
      </c>
      <c r="J10" s="5" t="n">
        <f aca="false">COUNTIFS('Event Log'!$B$5:$B$49,$A10,'Event Log'!$C$5:$C$49,$B10,'Event Log'!$D$5:$D$49,J$5,'Event Log'!$I$5:$I$49,"Yes")</f>
        <v>0</v>
      </c>
      <c r="K10" s="5" t="n">
        <f aca="false">COUNTIFS('Event Log'!$B$5:$B$49,$A10,'Event Log'!$C$5:$C$49,$B10,'Event Log'!$D$5:$D$49,K$5,'Event Log'!$I$5:$I$49,"Yes")</f>
        <v>0</v>
      </c>
      <c r="L10" s="5" t="n">
        <f aca="false">COUNTIFS('Event Log'!$B$5:$B$49,$A10,'Event Log'!$C$5:$C$49,$B10,'Event Log'!$D$5:$D$49,L$5,'Event Log'!$I$5:$I$49,"Yes")</f>
        <v>0</v>
      </c>
      <c r="M10" s="5" t="n">
        <f aca="false">COUNTIFS('Event Log'!$B$5:$B$49,$A10,'Event Log'!$C$5:$C$49,$B10,'Event Log'!$D$5:$D$49,M$5,'Event Log'!$I$5:$I$49,"Yes")</f>
        <v>0</v>
      </c>
      <c r="N10" s="5" t="n">
        <f aca="false">SUM(C10:M10)</f>
        <v>0</v>
      </c>
      <c r="O10" s="5" t="n">
        <f aca="false">COUNTIFS('Event Log'!$B$5:$B$49,$A10,'Event Log'!$C$5:$C$49,$B10,'Event Log'!$D$5:$D$49,"FY27",'Event Log'!$I$5:$I$49,"Yes")</f>
        <v>0</v>
      </c>
    </row>
    <row r="11" customFormat="false" ht="15" hidden="false" customHeight="false" outlineLevel="0" collapsed="false">
      <c r="A11" s="4" t="s">
        <v>21</v>
      </c>
      <c r="B11" s="4" t="s">
        <v>19</v>
      </c>
      <c r="C11" s="5" t="n">
        <f aca="false">COUNTIFS('Event Log'!$B$5:$B$49,$A11,'Event Log'!$C$5:$C$49,$B11,'Event Log'!$D$5:$D$49,C$5,'Event Log'!$I$5:$I$49,"Yes")</f>
        <v>0</v>
      </c>
      <c r="D11" s="5" t="n">
        <f aca="false">COUNTIFS('Event Log'!$B$5:$B$49,$A11,'Event Log'!$C$5:$C$49,$B11,'Event Log'!$D$5:$D$49,D$5,'Event Log'!$I$5:$I$49,"Yes")</f>
        <v>0</v>
      </c>
      <c r="E11" s="5" t="n">
        <f aca="false">COUNTIFS('Event Log'!$B$5:$B$49,$A11,'Event Log'!$C$5:$C$49,$B11,'Event Log'!$D$5:$D$49,E$5,'Event Log'!$I$5:$I$49,"Yes")</f>
        <v>0</v>
      </c>
      <c r="F11" s="5" t="n">
        <f aca="false">COUNTIFS('Event Log'!$B$5:$B$49,$A11,'Event Log'!$C$5:$C$49,$B11,'Event Log'!$D$5:$D$49,F$5,'Event Log'!$I$5:$I$49,"Yes")</f>
        <v>0</v>
      </c>
      <c r="G11" s="5" t="n">
        <f aca="false">COUNTIFS('Event Log'!$B$5:$B$49,$A11,'Event Log'!$C$5:$C$49,$B11,'Event Log'!$D$5:$D$49,G$5,'Event Log'!$I$5:$I$49,"Yes")</f>
        <v>0</v>
      </c>
      <c r="H11" s="5" t="n">
        <f aca="false">COUNTIFS('Event Log'!$B$5:$B$49,$A11,'Event Log'!$C$5:$C$49,$B11,'Event Log'!$D$5:$D$49,H$5,'Event Log'!$I$5:$I$49,"Yes")</f>
        <v>0</v>
      </c>
      <c r="I11" s="5" t="n">
        <f aca="false">COUNTIFS('Event Log'!$B$5:$B$49,$A11,'Event Log'!$C$5:$C$49,$B11,'Event Log'!$D$5:$D$49,I$5,'Event Log'!$I$5:$I$49,"Yes")</f>
        <v>0</v>
      </c>
      <c r="J11" s="5" t="n">
        <f aca="false">COUNTIFS('Event Log'!$B$5:$B$49,$A11,'Event Log'!$C$5:$C$49,$B11,'Event Log'!$D$5:$D$49,J$5,'Event Log'!$I$5:$I$49,"Yes")</f>
        <v>0</v>
      </c>
      <c r="K11" s="5" t="n">
        <f aca="false">COUNTIFS('Event Log'!$B$5:$B$49,$A11,'Event Log'!$C$5:$C$49,$B11,'Event Log'!$D$5:$D$49,K$5,'Event Log'!$I$5:$I$49,"Yes")</f>
        <v>0</v>
      </c>
      <c r="L11" s="5" t="n">
        <f aca="false">COUNTIFS('Event Log'!$B$5:$B$49,$A11,'Event Log'!$C$5:$C$49,$B11,'Event Log'!$D$5:$D$49,L$5,'Event Log'!$I$5:$I$49,"Yes")</f>
        <v>0</v>
      </c>
      <c r="M11" s="5" t="n">
        <f aca="false">COUNTIFS('Event Log'!$B$5:$B$49,$A11,'Event Log'!$C$5:$C$49,$B11,'Event Log'!$D$5:$D$49,M$5,'Event Log'!$I$5:$I$49,"Yes")</f>
        <v>0</v>
      </c>
      <c r="N11" s="5" t="n">
        <f aca="false">SUM(C11:M11)</f>
        <v>0</v>
      </c>
      <c r="O11" s="5" t="n">
        <f aca="false">COUNTIFS('Event Log'!$B$5:$B$49,$A11,'Event Log'!$C$5:$C$49,$B11,'Event Log'!$D$5:$D$49,"FY27",'Event Log'!$I$5:$I$49,"Yes")</f>
        <v>0</v>
      </c>
    </row>
    <row r="12" customFormat="false" ht="15" hidden="false" customHeight="false" outlineLevel="0" collapsed="false">
      <c r="A12" s="6" t="s">
        <v>22</v>
      </c>
      <c r="B12" s="6" t="s">
        <v>18</v>
      </c>
      <c r="C12" s="7" t="n">
        <f aca="false">COUNTIFS('Event Log'!$B$5:$B$49,$A12,'Event Log'!$C$5:$C$49,$B12,'Event Log'!$D$5:$D$49,C$5,'Event Log'!$I$5:$I$49,"Yes")</f>
        <v>0</v>
      </c>
      <c r="D12" s="7" t="n">
        <f aca="false">COUNTIFS('Event Log'!$B$5:$B$49,$A12,'Event Log'!$C$5:$C$49,$B12,'Event Log'!$D$5:$D$49,D$5,'Event Log'!$I$5:$I$49,"Yes")</f>
        <v>0</v>
      </c>
      <c r="E12" s="7" t="n">
        <f aca="false">COUNTIFS('Event Log'!$B$5:$B$49,$A12,'Event Log'!$C$5:$C$49,$B12,'Event Log'!$D$5:$D$49,E$5,'Event Log'!$I$5:$I$49,"Yes")</f>
        <v>0</v>
      </c>
      <c r="F12" s="7" t="n">
        <f aca="false">COUNTIFS('Event Log'!$B$5:$B$49,$A12,'Event Log'!$C$5:$C$49,$B12,'Event Log'!$D$5:$D$49,F$5,'Event Log'!$I$5:$I$49,"Yes")</f>
        <v>0</v>
      </c>
      <c r="G12" s="7" t="n">
        <f aca="false">COUNTIFS('Event Log'!$B$5:$B$49,$A12,'Event Log'!$C$5:$C$49,$B12,'Event Log'!$D$5:$D$49,G$5,'Event Log'!$I$5:$I$49,"Yes")</f>
        <v>0</v>
      </c>
      <c r="H12" s="7" t="n">
        <f aca="false">COUNTIFS('Event Log'!$B$5:$B$49,$A12,'Event Log'!$C$5:$C$49,$B12,'Event Log'!$D$5:$D$49,H$5,'Event Log'!$I$5:$I$49,"Yes")</f>
        <v>0</v>
      </c>
      <c r="I12" s="7" t="n">
        <f aca="false">COUNTIFS('Event Log'!$B$5:$B$49,$A12,'Event Log'!$C$5:$C$49,$B12,'Event Log'!$D$5:$D$49,I$5,'Event Log'!$I$5:$I$49,"Yes")</f>
        <v>0</v>
      </c>
      <c r="J12" s="7" t="n">
        <f aca="false">COUNTIFS('Event Log'!$B$5:$B$49,$A12,'Event Log'!$C$5:$C$49,$B12,'Event Log'!$D$5:$D$49,J$5,'Event Log'!$I$5:$I$49,"Yes")</f>
        <v>0</v>
      </c>
      <c r="K12" s="7" t="n">
        <f aca="false">COUNTIFS('Event Log'!$B$5:$B$49,$A12,'Event Log'!$C$5:$C$49,$B12,'Event Log'!$D$5:$D$49,K$5,'Event Log'!$I$5:$I$49,"Yes")</f>
        <v>0</v>
      </c>
      <c r="L12" s="7" t="n">
        <f aca="false">COUNTIFS('Event Log'!$B$5:$B$49,$A12,'Event Log'!$C$5:$C$49,$B12,'Event Log'!$D$5:$D$49,L$5,'Event Log'!$I$5:$I$49,"Yes")</f>
        <v>0</v>
      </c>
      <c r="M12" s="7" t="n">
        <f aca="false">COUNTIFS('Event Log'!$B$5:$B$49,$A12,'Event Log'!$C$5:$C$49,$B12,'Event Log'!$D$5:$D$49,M$5,'Event Log'!$I$5:$I$49,"Yes")</f>
        <v>0</v>
      </c>
      <c r="N12" s="7" t="n">
        <f aca="false">SUM(C12:M12)</f>
        <v>0</v>
      </c>
      <c r="O12" s="7" t="n">
        <f aca="false">COUNTIFS('Event Log'!$B$5:$B$49,$A12,'Event Log'!$C$5:$C$49,$B12,'Event Log'!$D$5:$D$49,"FY27",'Event Log'!$I$5:$I$49,"Yes")</f>
        <v>0</v>
      </c>
    </row>
    <row r="13" customFormat="false" ht="15" hidden="false" customHeight="false" outlineLevel="0" collapsed="false">
      <c r="A13" s="6" t="s">
        <v>22</v>
      </c>
      <c r="B13" s="6" t="s">
        <v>19</v>
      </c>
      <c r="C13" s="7" t="n">
        <f aca="false">COUNTIFS('Event Log'!$B$5:$B$49,$A13,'Event Log'!$C$5:$C$49,$B13,'Event Log'!$D$5:$D$49,C$5,'Event Log'!$I$5:$I$49,"Yes")</f>
        <v>0</v>
      </c>
      <c r="D13" s="7" t="n">
        <f aca="false">COUNTIFS('Event Log'!$B$5:$B$49,$A13,'Event Log'!$C$5:$C$49,$B13,'Event Log'!$D$5:$D$49,D$5,'Event Log'!$I$5:$I$49,"Yes")</f>
        <v>0</v>
      </c>
      <c r="E13" s="7" t="n">
        <f aca="false">COUNTIFS('Event Log'!$B$5:$B$49,$A13,'Event Log'!$C$5:$C$49,$B13,'Event Log'!$D$5:$D$49,E$5,'Event Log'!$I$5:$I$49,"Yes")</f>
        <v>0</v>
      </c>
      <c r="F13" s="7" t="n">
        <f aca="false">COUNTIFS('Event Log'!$B$5:$B$49,$A13,'Event Log'!$C$5:$C$49,$B13,'Event Log'!$D$5:$D$49,F$5,'Event Log'!$I$5:$I$49,"Yes")</f>
        <v>0</v>
      </c>
      <c r="G13" s="7" t="n">
        <f aca="false">COUNTIFS('Event Log'!$B$5:$B$49,$A13,'Event Log'!$C$5:$C$49,$B13,'Event Log'!$D$5:$D$49,G$5,'Event Log'!$I$5:$I$49,"Yes")</f>
        <v>0</v>
      </c>
      <c r="H13" s="7" t="n">
        <f aca="false">COUNTIFS('Event Log'!$B$5:$B$49,$A13,'Event Log'!$C$5:$C$49,$B13,'Event Log'!$D$5:$D$49,H$5,'Event Log'!$I$5:$I$49,"Yes")</f>
        <v>0</v>
      </c>
      <c r="I13" s="7" t="n">
        <f aca="false">COUNTIFS('Event Log'!$B$5:$B$49,$A13,'Event Log'!$C$5:$C$49,$B13,'Event Log'!$D$5:$D$49,I$5,'Event Log'!$I$5:$I$49,"Yes")</f>
        <v>0</v>
      </c>
      <c r="J13" s="7" t="n">
        <f aca="false">COUNTIFS('Event Log'!$B$5:$B$49,$A13,'Event Log'!$C$5:$C$49,$B13,'Event Log'!$D$5:$D$49,J$5,'Event Log'!$I$5:$I$49,"Yes")</f>
        <v>0</v>
      </c>
      <c r="K13" s="7" t="n">
        <f aca="false">COUNTIFS('Event Log'!$B$5:$B$49,$A13,'Event Log'!$C$5:$C$49,$B13,'Event Log'!$D$5:$D$49,K$5,'Event Log'!$I$5:$I$49,"Yes")</f>
        <v>0</v>
      </c>
      <c r="L13" s="7" t="n">
        <f aca="false">COUNTIFS('Event Log'!$B$5:$B$49,$A13,'Event Log'!$C$5:$C$49,$B13,'Event Log'!$D$5:$D$49,L$5,'Event Log'!$I$5:$I$49,"Yes")</f>
        <v>0</v>
      </c>
      <c r="M13" s="7" t="n">
        <f aca="false">COUNTIFS('Event Log'!$B$5:$B$49,$A13,'Event Log'!$C$5:$C$49,$B13,'Event Log'!$D$5:$D$49,M$5,'Event Log'!$I$5:$I$49,"Yes")</f>
        <v>0</v>
      </c>
      <c r="N13" s="7" t="n">
        <f aca="false">SUM(C13:M13)</f>
        <v>0</v>
      </c>
      <c r="O13" s="7" t="n">
        <f aca="false">COUNTIFS('Event Log'!$B$5:$B$49,$A13,'Event Log'!$C$5:$C$49,$B13,'Event Log'!$D$5:$D$49,"FY27",'Event Log'!$I$5:$I$49,"Yes")</f>
        <v>0</v>
      </c>
    </row>
    <row r="14" customFormat="false" ht="15" hidden="false" customHeight="false" outlineLevel="0" collapsed="false">
      <c r="A14" s="4" t="s">
        <v>23</v>
      </c>
      <c r="B14" s="4" t="s">
        <v>18</v>
      </c>
      <c r="C14" s="5" t="n">
        <f aca="false">COUNTIFS('Event Log'!$B$5:$B$49,$A14,'Event Log'!$C$5:$C$49,$B14,'Event Log'!$D$5:$D$49,C$5,'Event Log'!$I$5:$I$49,"Yes")</f>
        <v>0</v>
      </c>
      <c r="D14" s="5" t="n">
        <f aca="false">COUNTIFS('Event Log'!$B$5:$B$49,$A14,'Event Log'!$C$5:$C$49,$B14,'Event Log'!$D$5:$D$49,D$5,'Event Log'!$I$5:$I$49,"Yes")</f>
        <v>0</v>
      </c>
      <c r="E14" s="5" t="n">
        <f aca="false">COUNTIFS('Event Log'!$B$5:$B$49,$A14,'Event Log'!$C$5:$C$49,$B14,'Event Log'!$D$5:$D$49,E$5,'Event Log'!$I$5:$I$49,"Yes")</f>
        <v>0</v>
      </c>
      <c r="F14" s="5" t="n">
        <f aca="false">COUNTIFS('Event Log'!$B$5:$B$49,$A14,'Event Log'!$C$5:$C$49,$B14,'Event Log'!$D$5:$D$49,F$5,'Event Log'!$I$5:$I$49,"Yes")</f>
        <v>0</v>
      </c>
      <c r="G14" s="5" t="n">
        <f aca="false">COUNTIFS('Event Log'!$B$5:$B$49,$A14,'Event Log'!$C$5:$C$49,$B14,'Event Log'!$D$5:$D$49,G$5,'Event Log'!$I$5:$I$49,"Yes")</f>
        <v>0</v>
      </c>
      <c r="H14" s="5" t="n">
        <f aca="false">COUNTIFS('Event Log'!$B$5:$B$49,$A14,'Event Log'!$C$5:$C$49,$B14,'Event Log'!$D$5:$D$49,H$5,'Event Log'!$I$5:$I$49,"Yes")</f>
        <v>0</v>
      </c>
      <c r="I14" s="5" t="n">
        <f aca="false">COUNTIFS('Event Log'!$B$5:$B$49,$A14,'Event Log'!$C$5:$C$49,$B14,'Event Log'!$D$5:$D$49,I$5,'Event Log'!$I$5:$I$49,"Yes")</f>
        <v>0</v>
      </c>
      <c r="J14" s="5" t="n">
        <f aca="false">COUNTIFS('Event Log'!$B$5:$B$49,$A14,'Event Log'!$C$5:$C$49,$B14,'Event Log'!$D$5:$D$49,J$5,'Event Log'!$I$5:$I$49,"Yes")</f>
        <v>0</v>
      </c>
      <c r="K14" s="5" t="n">
        <f aca="false">COUNTIFS('Event Log'!$B$5:$B$49,$A14,'Event Log'!$C$5:$C$49,$B14,'Event Log'!$D$5:$D$49,K$5,'Event Log'!$I$5:$I$49,"Yes")</f>
        <v>0</v>
      </c>
      <c r="L14" s="5" t="n">
        <f aca="false">COUNTIFS('Event Log'!$B$5:$B$49,$A14,'Event Log'!$C$5:$C$49,$B14,'Event Log'!$D$5:$D$49,L$5,'Event Log'!$I$5:$I$49,"Yes")</f>
        <v>0</v>
      </c>
      <c r="M14" s="5" t="n">
        <f aca="false">COUNTIFS('Event Log'!$B$5:$B$49,$A14,'Event Log'!$C$5:$C$49,$B14,'Event Log'!$D$5:$D$49,M$5,'Event Log'!$I$5:$I$49,"Yes")</f>
        <v>0</v>
      </c>
      <c r="N14" s="5" t="n">
        <f aca="false">SUM(C14:M14)</f>
        <v>0</v>
      </c>
      <c r="O14" s="5" t="n">
        <f aca="false">COUNTIFS('Event Log'!$B$5:$B$49,$A14,'Event Log'!$C$5:$C$49,$B14,'Event Log'!$D$5:$D$49,"FY27",'Event Log'!$I$5:$I$49,"Yes")</f>
        <v>0</v>
      </c>
    </row>
    <row r="15" customFormat="false" ht="15" hidden="false" customHeight="false" outlineLevel="0" collapsed="false">
      <c r="A15" s="4" t="s">
        <v>23</v>
      </c>
      <c r="B15" s="4" t="s">
        <v>19</v>
      </c>
      <c r="C15" s="5" t="n">
        <f aca="false">COUNTIFS('Event Log'!$B$5:$B$49,$A15,'Event Log'!$C$5:$C$49,$B15,'Event Log'!$D$5:$D$49,C$5,'Event Log'!$I$5:$I$49,"Yes")</f>
        <v>0</v>
      </c>
      <c r="D15" s="5" t="n">
        <f aca="false">COUNTIFS('Event Log'!$B$5:$B$49,$A15,'Event Log'!$C$5:$C$49,$B15,'Event Log'!$D$5:$D$49,D$5,'Event Log'!$I$5:$I$49,"Yes")</f>
        <v>0</v>
      </c>
      <c r="E15" s="5" t="n">
        <f aca="false">COUNTIFS('Event Log'!$B$5:$B$49,$A15,'Event Log'!$C$5:$C$49,$B15,'Event Log'!$D$5:$D$49,E$5,'Event Log'!$I$5:$I$49,"Yes")</f>
        <v>0</v>
      </c>
      <c r="F15" s="5" t="n">
        <f aca="false">COUNTIFS('Event Log'!$B$5:$B$49,$A15,'Event Log'!$C$5:$C$49,$B15,'Event Log'!$D$5:$D$49,F$5,'Event Log'!$I$5:$I$49,"Yes")</f>
        <v>0</v>
      </c>
      <c r="G15" s="5" t="n">
        <f aca="false">COUNTIFS('Event Log'!$B$5:$B$49,$A15,'Event Log'!$C$5:$C$49,$B15,'Event Log'!$D$5:$D$49,G$5,'Event Log'!$I$5:$I$49,"Yes")</f>
        <v>0</v>
      </c>
      <c r="H15" s="5" t="n">
        <f aca="false">COUNTIFS('Event Log'!$B$5:$B$49,$A15,'Event Log'!$C$5:$C$49,$B15,'Event Log'!$D$5:$D$49,H$5,'Event Log'!$I$5:$I$49,"Yes")</f>
        <v>0</v>
      </c>
      <c r="I15" s="5" t="n">
        <f aca="false">COUNTIFS('Event Log'!$B$5:$B$49,$A15,'Event Log'!$C$5:$C$49,$B15,'Event Log'!$D$5:$D$49,I$5,'Event Log'!$I$5:$I$49,"Yes")</f>
        <v>0</v>
      </c>
      <c r="J15" s="5" t="n">
        <f aca="false">COUNTIFS('Event Log'!$B$5:$B$49,$A15,'Event Log'!$C$5:$C$49,$B15,'Event Log'!$D$5:$D$49,J$5,'Event Log'!$I$5:$I$49,"Yes")</f>
        <v>0</v>
      </c>
      <c r="K15" s="5" t="n">
        <f aca="false">COUNTIFS('Event Log'!$B$5:$B$49,$A15,'Event Log'!$C$5:$C$49,$B15,'Event Log'!$D$5:$D$49,K$5,'Event Log'!$I$5:$I$49,"Yes")</f>
        <v>0</v>
      </c>
      <c r="L15" s="5" t="n">
        <f aca="false">COUNTIFS('Event Log'!$B$5:$B$49,$A15,'Event Log'!$C$5:$C$49,$B15,'Event Log'!$D$5:$D$49,L$5,'Event Log'!$I$5:$I$49,"Yes")</f>
        <v>0</v>
      </c>
      <c r="M15" s="5" t="n">
        <f aca="false">COUNTIFS('Event Log'!$B$5:$B$49,$A15,'Event Log'!$C$5:$C$49,$B15,'Event Log'!$D$5:$D$49,M$5,'Event Log'!$I$5:$I$49,"Yes")</f>
        <v>0</v>
      </c>
      <c r="N15" s="5" t="n">
        <f aca="false">SUM(C15:M15)</f>
        <v>0</v>
      </c>
      <c r="O15" s="5" t="n">
        <f aca="false">COUNTIFS('Event Log'!$B$5:$B$49,$A15,'Event Log'!$C$5:$C$49,$B15,'Event Log'!$D$5:$D$49,"FY27",'Event Log'!$I$5:$I$49,"Yes")</f>
        <v>0</v>
      </c>
    </row>
    <row r="16" customFormat="false" ht="15" hidden="false" customHeight="true" outlineLevel="0" collapsed="false">
      <c r="A16" s="8" t="s">
        <v>24</v>
      </c>
      <c r="B16" s="8"/>
      <c r="C16" s="9" t="n">
        <f aca="false">SUM(C6:C15)</f>
        <v>3</v>
      </c>
      <c r="D16" s="9" t="n">
        <f aca="false">SUM(D6:D15)</f>
        <v>0</v>
      </c>
      <c r="E16" s="9" t="n">
        <f aca="false">SUM(E6:E15)</f>
        <v>2</v>
      </c>
      <c r="F16" s="9" t="n">
        <f aca="false">SUM(F6:F15)</f>
        <v>2</v>
      </c>
      <c r="G16" s="9" t="n">
        <f aca="false">SUM(G6:G15)</f>
        <v>4</v>
      </c>
      <c r="H16" s="9" t="n">
        <f aca="false">SUM(H6:H15)</f>
        <v>1</v>
      </c>
      <c r="I16" s="9" t="n">
        <f aca="false">SUM(I6:I15)</f>
        <v>0</v>
      </c>
      <c r="J16" s="9" t="n">
        <f aca="false">SUM(J6:J15)</f>
        <v>2</v>
      </c>
      <c r="K16" s="9" t="n">
        <f aca="false">SUM(K6:K15)</f>
        <v>2</v>
      </c>
      <c r="L16" s="9" t="n">
        <f aca="false">SUM(L6:L15)</f>
        <v>0</v>
      </c>
      <c r="M16" s="9" t="n">
        <f aca="false">SUM(M6:M15)</f>
        <v>3</v>
      </c>
      <c r="N16" s="9" t="n">
        <f aca="false">SUM(N6:N15)</f>
        <v>19</v>
      </c>
      <c r="O16" s="9" t="n">
        <f aca="false">SUM(O6:O15)</f>
        <v>1</v>
      </c>
    </row>
    <row r="17" customFormat="false" ht="15" hidden="false" customHeight="true" outlineLevel="0" collapsed="false">
      <c r="A17" s="10" t="s">
        <v>25</v>
      </c>
      <c r="B17" s="10"/>
      <c r="C17" s="7" t="n">
        <f aca="false">C6+C7</f>
        <v>1</v>
      </c>
      <c r="D17" s="7" t="n">
        <f aca="false">D6+D7</f>
        <v>0</v>
      </c>
      <c r="E17" s="7" t="n">
        <f aca="false">E6+E7</f>
        <v>2</v>
      </c>
      <c r="F17" s="7" t="n">
        <f aca="false">F6+F7</f>
        <v>0</v>
      </c>
      <c r="G17" s="7" t="n">
        <f aca="false">G6+G7</f>
        <v>3</v>
      </c>
      <c r="H17" s="7" t="n">
        <f aca="false">H6+H7</f>
        <v>0</v>
      </c>
      <c r="I17" s="7" t="n">
        <f aca="false">I6+I7</f>
        <v>0</v>
      </c>
      <c r="J17" s="7" t="n">
        <f aca="false">J6+J7</f>
        <v>1</v>
      </c>
      <c r="K17" s="7" t="n">
        <f aca="false">K6+K7</f>
        <v>1</v>
      </c>
      <c r="L17" s="7" t="n">
        <f aca="false">L6+L7</f>
        <v>0</v>
      </c>
      <c r="M17" s="7" t="n">
        <f aca="false">M6+M7</f>
        <v>1</v>
      </c>
      <c r="N17" s="7" t="n">
        <f aca="false">N6+N7</f>
        <v>9</v>
      </c>
      <c r="O17" s="7" t="n">
        <f aca="false">O6+O7</f>
        <v>1</v>
      </c>
    </row>
    <row r="18" customFormat="false" ht="15" hidden="false" customHeight="true" outlineLevel="0" collapsed="false">
      <c r="A18" s="10" t="s">
        <v>26</v>
      </c>
      <c r="B18" s="10"/>
      <c r="C18" s="7" t="n">
        <f aca="false">C8+C9</f>
        <v>2</v>
      </c>
      <c r="D18" s="7" t="n">
        <f aca="false">D8+D9</f>
        <v>0</v>
      </c>
      <c r="E18" s="7" t="n">
        <f aca="false">E8+E9</f>
        <v>0</v>
      </c>
      <c r="F18" s="7" t="n">
        <f aca="false">F8+F9</f>
        <v>2</v>
      </c>
      <c r="G18" s="7" t="n">
        <f aca="false">G8+G9</f>
        <v>1</v>
      </c>
      <c r="H18" s="7" t="n">
        <f aca="false">H8+H9</f>
        <v>1</v>
      </c>
      <c r="I18" s="7" t="n">
        <f aca="false">I8+I9</f>
        <v>0</v>
      </c>
      <c r="J18" s="7" t="n">
        <f aca="false">J8+J9</f>
        <v>1</v>
      </c>
      <c r="K18" s="7" t="n">
        <f aca="false">K8+K9</f>
        <v>1</v>
      </c>
      <c r="L18" s="7" t="n">
        <f aca="false">L8+L9</f>
        <v>0</v>
      </c>
      <c r="M18" s="7" t="n">
        <f aca="false">M8+M9</f>
        <v>2</v>
      </c>
      <c r="N18" s="7" t="n">
        <f aca="false">N8+N9</f>
        <v>10</v>
      </c>
      <c r="O18" s="7" t="n">
        <f aca="false">O8+O9</f>
        <v>0</v>
      </c>
    </row>
    <row r="19" customFormat="false" ht="15" hidden="false" customHeight="true" outlineLevel="0" collapsed="false">
      <c r="A19" s="10" t="s">
        <v>27</v>
      </c>
      <c r="B19" s="10"/>
      <c r="C19" s="7" t="n">
        <f aca="false">SUM(C10:C15)</f>
        <v>0</v>
      </c>
      <c r="D19" s="7" t="n">
        <f aca="false">SUM(D10:D15)</f>
        <v>0</v>
      </c>
      <c r="E19" s="7" t="n">
        <f aca="false">SUM(E10:E15)</f>
        <v>0</v>
      </c>
      <c r="F19" s="7" t="n">
        <f aca="false">SUM(F10:F15)</f>
        <v>0</v>
      </c>
      <c r="G19" s="7" t="n">
        <f aca="false">SUM(G10:G15)</f>
        <v>0</v>
      </c>
      <c r="H19" s="7" t="n">
        <f aca="false">SUM(H10:H15)</f>
        <v>0</v>
      </c>
      <c r="I19" s="7" t="n">
        <f aca="false">SUM(I10:I15)</f>
        <v>0</v>
      </c>
      <c r="J19" s="7" t="n">
        <f aca="false">SUM(J10:J15)</f>
        <v>0</v>
      </c>
      <c r="K19" s="7" t="n">
        <f aca="false">SUM(K10:K15)</f>
        <v>0</v>
      </c>
      <c r="L19" s="7" t="n">
        <f aca="false">SUM(L10:L15)</f>
        <v>0</v>
      </c>
      <c r="M19" s="7" t="n">
        <f aca="false">SUM(M10:M15)</f>
        <v>0</v>
      </c>
      <c r="N19" s="7" t="n">
        <f aca="false">SUM(N10:N15)</f>
        <v>0</v>
      </c>
      <c r="O19" s="7" t="n">
        <f aca="false">SUM(O10:O15)</f>
        <v>0</v>
      </c>
    </row>
    <row r="20" customFormat="false" ht="23.85" hidden="false" customHeight="true" outlineLevel="0" collapsed="false">
      <c r="A20" s="11" t="s">
        <v>28</v>
      </c>
      <c r="B20" s="11"/>
      <c r="C20" s="12" t="n">
        <f aca="false">COUNTIFS('Event Log'!$D$5:$D$49,C$5,'Event Log'!$I$5:$I$49,"Yes",'Event Log'!$K$5:$K$49,"Yes")</f>
        <v>0</v>
      </c>
      <c r="D20" s="12" t="n">
        <f aca="false">COUNTIFS('Event Log'!$D$5:$D$49,D$5,'Event Log'!$I$5:$I$49,"Yes",'Event Log'!$K$5:$K$49,"Yes")</f>
        <v>0</v>
      </c>
      <c r="E20" s="12" t="n">
        <f aca="false">COUNTIFS('Event Log'!$D$5:$D$49,E$5,'Event Log'!$I$5:$I$49,"Yes",'Event Log'!$K$5:$K$49,"Yes")</f>
        <v>0</v>
      </c>
      <c r="F20" s="12" t="n">
        <f aca="false">COUNTIFS('Event Log'!$D$5:$D$49,F$5,'Event Log'!$I$5:$I$49,"Yes",'Event Log'!$K$5:$K$49,"Yes")</f>
        <v>0</v>
      </c>
      <c r="G20" s="12" t="n">
        <f aca="false">COUNTIFS('Event Log'!$D$5:$D$49,G$5,'Event Log'!$I$5:$I$49,"Yes",'Event Log'!$K$5:$K$49,"Yes")</f>
        <v>2</v>
      </c>
      <c r="H20" s="12" t="n">
        <f aca="false">COUNTIFS('Event Log'!$D$5:$D$49,H$5,'Event Log'!$I$5:$I$49,"Yes",'Event Log'!$K$5:$K$49,"Yes")</f>
        <v>0</v>
      </c>
      <c r="I20" s="12" t="n">
        <f aca="false">COUNTIFS('Event Log'!$D$5:$D$49,I$5,'Event Log'!$I$5:$I$49,"Yes",'Event Log'!$K$5:$K$49,"Yes")</f>
        <v>0</v>
      </c>
      <c r="J20" s="12" t="n">
        <f aca="false">COUNTIFS('Event Log'!$D$5:$D$49,J$5,'Event Log'!$I$5:$I$49,"Yes",'Event Log'!$K$5:$K$49,"Yes")</f>
        <v>0</v>
      </c>
      <c r="K20" s="12" t="n">
        <f aca="false">COUNTIFS('Event Log'!$D$5:$D$49,K$5,'Event Log'!$I$5:$I$49,"Yes",'Event Log'!$K$5:$K$49,"Yes")</f>
        <v>0</v>
      </c>
      <c r="L20" s="12" t="n">
        <f aca="false">COUNTIFS('Event Log'!$D$5:$D$49,L$5,'Event Log'!$I$5:$I$49,"Yes",'Event Log'!$K$5:$K$49,"Yes")</f>
        <v>0</v>
      </c>
      <c r="M20" s="12" t="n">
        <f aca="false">COUNTIFS('Event Log'!$D$5:$D$49,M$5,'Event Log'!$I$5:$I$49,"Yes",'Event Log'!$K$5:$K$49,"Yes")</f>
        <v>0</v>
      </c>
      <c r="N20" s="12" t="n">
        <f aca="false">SUM(C20:M20)</f>
        <v>2</v>
      </c>
      <c r="O20" s="12" t="n">
        <f aca="false">COUNTIFS('Event Log'!$D$5:$D$49,"FY27",'Event Log'!$I$5:$I$49,"Yes",'Event Log'!$K$5:$K$49,"Yes")</f>
        <v>0</v>
      </c>
    </row>
    <row r="21" customFormat="false" ht="23.85" hidden="false" customHeight="true" outlineLevel="0" collapsed="false">
      <c r="A21" s="10" t="s">
        <v>29</v>
      </c>
      <c r="B21" s="10"/>
      <c r="C21" s="7" t="s">
        <v>30</v>
      </c>
      <c r="D21" s="7" t="s">
        <v>30</v>
      </c>
      <c r="E21" s="7" t="s">
        <v>30</v>
      </c>
      <c r="F21" s="7" t="s">
        <v>30</v>
      </c>
      <c r="G21" s="7" t="s">
        <v>30</v>
      </c>
      <c r="H21" s="7" t="s">
        <v>30</v>
      </c>
      <c r="I21" s="7" t="s">
        <v>30</v>
      </c>
      <c r="J21" s="13" t="n">
        <v>4</v>
      </c>
      <c r="K21" s="13" t="n">
        <v>2</v>
      </c>
      <c r="L21" s="13" t="n">
        <v>4</v>
      </c>
      <c r="M21" s="13" t="n">
        <v>3</v>
      </c>
      <c r="N21" s="7"/>
      <c r="O21" s="7"/>
    </row>
    <row r="22" customFormat="false" ht="23.85" hidden="false" customHeight="true" outlineLevel="0" collapsed="false">
      <c r="A22" s="10" t="s">
        <v>31</v>
      </c>
      <c r="B22" s="10"/>
      <c r="C22" s="7" t="str">
        <f aca="false">IF(ISNUMBER(C21),MAX(0,C21-C16),"")</f>
        <v/>
      </c>
      <c r="D22" s="7" t="str">
        <f aca="false">IF(ISNUMBER(D21),MAX(0,D21-D16),"")</f>
        <v/>
      </c>
      <c r="E22" s="7" t="str">
        <f aca="false">IF(ISNUMBER(E21),MAX(0,E21-E16),"")</f>
        <v/>
      </c>
      <c r="F22" s="7" t="str">
        <f aca="false">IF(ISNUMBER(F21),MAX(0,F21-F16),"")</f>
        <v/>
      </c>
      <c r="G22" s="7" t="str">
        <f aca="false">IF(ISNUMBER(G21),MAX(0,G21-G16),"")</f>
        <v/>
      </c>
      <c r="H22" s="7" t="str">
        <f aca="false">IF(ISNUMBER(H21),MAX(0,H21-H16),"")</f>
        <v/>
      </c>
      <c r="I22" s="7" t="str">
        <f aca="false">IF(ISNUMBER(I21),MAX(0,I21-I16),"")</f>
        <v/>
      </c>
      <c r="J22" s="7" t="n">
        <f aca="false">IF(ISNUMBER(J21),MAX(0,J21-J16),"")</f>
        <v>2</v>
      </c>
      <c r="K22" s="7" t="n">
        <f aca="false">IF(ISNUMBER(K21),MAX(0,K21-K16),"")</f>
        <v>0</v>
      </c>
      <c r="L22" s="7" t="n">
        <f aca="false">IF(ISNUMBER(L21),MAX(0,L21-L16),"")</f>
        <v>4</v>
      </c>
      <c r="M22" s="7" t="n">
        <f aca="false">IF(ISNUMBER(M21),MAX(0,M21-M16),"")</f>
        <v>0</v>
      </c>
      <c r="N22" s="7" t="n">
        <f aca="false">SUM(C22:M22)</f>
        <v>6</v>
      </c>
      <c r="O22" s="7"/>
    </row>
    <row r="24" customFormat="false" ht="15" hidden="false" customHeight="false" outlineLevel="0" collapsed="false">
      <c r="A24" s="14" t="s">
        <v>32</v>
      </c>
    </row>
    <row r="25" customFormat="false" ht="23.85" hidden="false" customHeight="false" outlineLevel="0" collapsed="false">
      <c r="A25" s="3" t="s">
        <v>2</v>
      </c>
      <c r="B25" s="3" t="s">
        <v>3</v>
      </c>
      <c r="C25" s="3" t="s">
        <v>4</v>
      </c>
      <c r="D25" s="3" t="s">
        <v>5</v>
      </c>
      <c r="E25" s="3" t="s">
        <v>6</v>
      </c>
      <c r="F25" s="3" t="s">
        <v>7</v>
      </c>
      <c r="G25" s="3" t="s">
        <v>8</v>
      </c>
      <c r="H25" s="3" t="s">
        <v>9</v>
      </c>
      <c r="I25" s="3" t="s">
        <v>10</v>
      </c>
      <c r="J25" s="3" t="s">
        <v>11</v>
      </c>
      <c r="K25" s="3" t="s">
        <v>12</v>
      </c>
      <c r="L25" s="3" t="s">
        <v>13</v>
      </c>
      <c r="M25" s="3" t="s">
        <v>14</v>
      </c>
      <c r="O25" s="3" t="s">
        <v>16</v>
      </c>
    </row>
    <row r="26" customFormat="false" ht="36" hidden="false" customHeight="true" outlineLevel="0" collapsed="false">
      <c r="A26" s="15" t="s">
        <v>17</v>
      </c>
      <c r="B26" s="15" t="s">
        <v>18</v>
      </c>
      <c r="C26" s="16"/>
      <c r="D26" s="16"/>
      <c r="E26" s="17" t="s">
        <v>33</v>
      </c>
      <c r="F26" s="16"/>
      <c r="G26" s="17" t="s">
        <v>34</v>
      </c>
      <c r="H26" s="16"/>
      <c r="I26" s="16"/>
      <c r="J26" s="16"/>
      <c r="K26" s="16"/>
      <c r="L26" s="16"/>
      <c r="M26" s="17" t="s">
        <v>35</v>
      </c>
      <c r="O26" s="16"/>
    </row>
    <row r="27" customFormat="false" ht="36" hidden="false" customHeight="true" outlineLevel="0" collapsed="false">
      <c r="A27" s="15" t="s">
        <v>17</v>
      </c>
      <c r="B27" s="15" t="s">
        <v>19</v>
      </c>
      <c r="C27" s="17" t="s">
        <v>36</v>
      </c>
      <c r="D27" s="16"/>
      <c r="E27" s="17" t="s">
        <v>37</v>
      </c>
      <c r="F27" s="16"/>
      <c r="G27" s="18" t="s">
        <v>38</v>
      </c>
      <c r="H27" s="16"/>
      <c r="I27" s="16"/>
      <c r="J27" s="17" t="s">
        <v>39</v>
      </c>
      <c r="K27" s="17" t="s">
        <v>40</v>
      </c>
      <c r="L27" s="16"/>
      <c r="M27" s="16"/>
      <c r="O27" s="17" t="s">
        <v>41</v>
      </c>
    </row>
    <row r="28" customFormat="false" ht="36" hidden="false" customHeight="true" outlineLevel="0" collapsed="false">
      <c r="A28" s="15" t="s">
        <v>20</v>
      </c>
      <c r="B28" s="15" t="s">
        <v>18</v>
      </c>
      <c r="C28" s="17" t="s">
        <v>42</v>
      </c>
      <c r="D28" s="16"/>
      <c r="E28" s="16"/>
      <c r="F28" s="17" t="s">
        <v>43</v>
      </c>
      <c r="G28" s="18" t="s">
        <v>44</v>
      </c>
      <c r="H28" s="17" t="s">
        <v>45</v>
      </c>
      <c r="I28" s="16"/>
      <c r="J28" s="17" t="s">
        <v>46</v>
      </c>
      <c r="K28" s="16"/>
      <c r="L28" s="16"/>
      <c r="M28" s="17" t="s">
        <v>47</v>
      </c>
      <c r="O28" s="16"/>
    </row>
    <row r="29" customFormat="false" ht="36" hidden="false" customHeight="true" outlineLevel="0" collapsed="false">
      <c r="A29" s="15" t="s">
        <v>20</v>
      </c>
      <c r="B29" s="15" t="s">
        <v>19</v>
      </c>
      <c r="C29" s="17" t="s">
        <v>42</v>
      </c>
      <c r="D29" s="16"/>
      <c r="E29" s="16"/>
      <c r="F29" s="17" t="s">
        <v>43</v>
      </c>
      <c r="G29" s="16"/>
      <c r="H29" s="16"/>
      <c r="I29" s="16"/>
      <c r="J29" s="16"/>
      <c r="K29" s="17" t="s">
        <v>48</v>
      </c>
      <c r="L29" s="16"/>
      <c r="M29" s="17" t="s">
        <v>47</v>
      </c>
      <c r="O29" s="16"/>
    </row>
    <row r="30" customFormat="false" ht="36" hidden="false" customHeight="true" outlineLevel="0" collapsed="false">
      <c r="A30" s="15" t="s">
        <v>21</v>
      </c>
      <c r="B30" s="15" t="s">
        <v>18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 t="s">
        <v>49</v>
      </c>
      <c r="O30" s="16"/>
    </row>
    <row r="31" customFormat="false" ht="36" hidden="false" customHeight="true" outlineLevel="0" collapsed="false">
      <c r="A31" s="15" t="s">
        <v>21</v>
      </c>
      <c r="B31" s="15" t="s">
        <v>19</v>
      </c>
      <c r="C31" s="16"/>
      <c r="D31" s="16"/>
      <c r="E31" s="16"/>
      <c r="F31" s="16"/>
      <c r="G31" s="16"/>
      <c r="H31" s="16"/>
      <c r="I31" s="16"/>
      <c r="J31" s="16"/>
      <c r="K31" s="16" t="s">
        <v>50</v>
      </c>
      <c r="L31" s="16" t="s">
        <v>51</v>
      </c>
      <c r="M31" s="16" t="s">
        <v>52</v>
      </c>
      <c r="O31" s="16" t="s">
        <v>53</v>
      </c>
    </row>
    <row r="32" customFormat="false" ht="36" hidden="false" customHeight="true" outlineLevel="0" collapsed="false">
      <c r="A32" s="15" t="s">
        <v>22</v>
      </c>
      <c r="B32" s="15" t="s">
        <v>18</v>
      </c>
      <c r="C32" s="16"/>
      <c r="D32" s="16" t="s">
        <v>54</v>
      </c>
      <c r="E32" s="16"/>
      <c r="F32" s="16"/>
      <c r="G32" s="16"/>
      <c r="H32" s="16"/>
      <c r="I32" s="16" t="s">
        <v>55</v>
      </c>
      <c r="J32" s="16"/>
      <c r="K32" s="16"/>
      <c r="L32" s="16"/>
      <c r="M32" s="16"/>
      <c r="O32" s="16"/>
    </row>
    <row r="33" customFormat="false" ht="36" hidden="false" customHeight="true" outlineLevel="0" collapsed="false">
      <c r="A33" s="15" t="s">
        <v>22</v>
      </c>
      <c r="B33" s="15" t="s">
        <v>19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O33" s="16"/>
    </row>
    <row r="34" customFormat="false" ht="36" hidden="false" customHeight="true" outlineLevel="0" collapsed="false">
      <c r="A34" s="15" t="s">
        <v>23</v>
      </c>
      <c r="B34" s="15" t="s">
        <v>18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O34" s="16"/>
    </row>
    <row r="35" customFormat="false" ht="36" hidden="false" customHeight="true" outlineLevel="0" collapsed="false">
      <c r="A35" s="15" t="s">
        <v>23</v>
      </c>
      <c r="B35" s="15" t="s">
        <v>19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O35" s="16"/>
    </row>
    <row r="37" customFormat="false" ht="27.75" hidden="false" customHeight="true" outlineLevel="0" collapsed="false">
      <c r="A37" s="19" t="s">
        <v>56</v>
      </c>
      <c r="C37" s="20" t="s">
        <v>57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customFormat="false" ht="43.5" hidden="false" customHeight="true" outlineLevel="0" collapsed="false">
      <c r="A38" s="19" t="s">
        <v>58</v>
      </c>
      <c r="C38" s="20" t="s">
        <v>59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customFormat="false" ht="27.75" hidden="false" customHeight="true" outlineLevel="0" collapsed="false">
      <c r="A39" s="19" t="s">
        <v>60</v>
      </c>
      <c r="C39" s="20" t="s">
        <v>61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customFormat="false" ht="27.75" hidden="false" customHeight="true" outlineLevel="0" collapsed="false">
      <c r="A40" s="19" t="s">
        <v>62</v>
      </c>
      <c r="C40" s="20" t="s">
        <v>63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</sheetData>
  <mergeCells count="12">
    <mergeCell ref="A2:O2"/>
    <mergeCell ref="A16:B16"/>
    <mergeCell ref="A17:B17"/>
    <mergeCell ref="A18:B18"/>
    <mergeCell ref="A19:B19"/>
    <mergeCell ref="A20:B20"/>
    <mergeCell ref="A21:B21"/>
    <mergeCell ref="A22:B22"/>
    <mergeCell ref="C37:O37"/>
    <mergeCell ref="C38:O38"/>
    <mergeCell ref="C39:O39"/>
    <mergeCell ref="C40:O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48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1" t="s">
        <v>65</v>
      </c>
    </row>
    <row r="4" customFormat="false" ht="23.85" hidden="false" customHeight="false" outlineLevel="0" collapsed="false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</row>
    <row r="5" customFormat="false" ht="60" hidden="false" customHeight="true" outlineLevel="0" collapsed="false">
      <c r="A5" s="22" t="s">
        <v>11</v>
      </c>
      <c r="B5" s="23" t="n">
        <f aca="false">'Time Series'!J21</f>
        <v>4</v>
      </c>
      <c r="C5" s="23" t="n">
        <f aca="false">'Time Series'!J16</f>
        <v>2</v>
      </c>
      <c r="D5" s="23" t="n">
        <f aca="false">'Time Series'!J22</f>
        <v>2</v>
      </c>
      <c r="E5" s="15" t="s">
        <v>72</v>
      </c>
      <c r="F5" s="15" t="s">
        <v>73</v>
      </c>
    </row>
    <row r="6" customFormat="false" ht="60" hidden="false" customHeight="true" outlineLevel="0" collapsed="false">
      <c r="A6" s="22" t="s">
        <v>12</v>
      </c>
      <c r="B6" s="23" t="n">
        <f aca="false">'Time Series'!K21</f>
        <v>2</v>
      </c>
      <c r="C6" s="23" t="n">
        <f aca="false">'Time Series'!K16</f>
        <v>2</v>
      </c>
      <c r="D6" s="23" t="n">
        <f aca="false">'Time Series'!K22</f>
        <v>0</v>
      </c>
      <c r="E6" s="15" t="s">
        <v>74</v>
      </c>
      <c r="F6" s="15" t="s">
        <v>75</v>
      </c>
    </row>
    <row r="7" customFormat="false" ht="60" hidden="false" customHeight="true" outlineLevel="0" collapsed="false">
      <c r="A7" s="22" t="s">
        <v>13</v>
      </c>
      <c r="B7" s="23" t="n">
        <f aca="false">'Time Series'!L21</f>
        <v>4</v>
      </c>
      <c r="C7" s="23" t="n">
        <f aca="false">'Time Series'!L16</f>
        <v>0</v>
      </c>
      <c r="D7" s="23" t="n">
        <f aca="false">'Time Series'!L22</f>
        <v>4</v>
      </c>
      <c r="E7" s="15" t="s">
        <v>76</v>
      </c>
      <c r="F7" s="15" t="s">
        <v>77</v>
      </c>
    </row>
    <row r="8" customFormat="false" ht="60" hidden="false" customHeight="true" outlineLevel="0" collapsed="false">
      <c r="A8" s="22" t="s">
        <v>14</v>
      </c>
      <c r="B8" s="23" t="n">
        <f aca="false">'Time Series'!M21</f>
        <v>3</v>
      </c>
      <c r="C8" s="23" t="n">
        <f aca="false">'Time Series'!M16</f>
        <v>3</v>
      </c>
      <c r="D8" s="23" t="n">
        <f aca="false">'Time Series'!M22</f>
        <v>0</v>
      </c>
      <c r="E8" s="15" t="s">
        <v>78</v>
      </c>
      <c r="F8" s="15" t="s">
        <v>79</v>
      </c>
    </row>
    <row r="9" customFormat="false" ht="15" hidden="false" customHeight="false" outlineLevel="0" collapsed="false">
      <c r="A9" s="24" t="s">
        <v>80</v>
      </c>
      <c r="B9" s="24" t="n">
        <f aca="false">SUM(B5:B8)</f>
        <v>13</v>
      </c>
      <c r="C9" s="24" t="n">
        <f aca="false">SUM(C5:C8)</f>
        <v>7</v>
      </c>
      <c r="D9" s="24" t="n">
        <f aca="false">SUM(D5:D8)</f>
        <v>6</v>
      </c>
      <c r="E9" s="24"/>
      <c r="F9" s="24"/>
    </row>
    <row r="11" customFormat="false" ht="15" hidden="false" customHeight="false" outlineLevel="0" collapsed="false">
      <c r="A11" s="25" t="s">
        <v>81</v>
      </c>
      <c r="B11" s="25"/>
      <c r="C11" s="25"/>
      <c r="D11" s="25"/>
      <c r="E11" s="25"/>
      <c r="F11" s="25"/>
    </row>
    <row r="12" customFormat="false" ht="15" hidden="false" customHeight="false" outlineLevel="0" collapsed="false">
      <c r="A12" s="25" t="s">
        <v>82</v>
      </c>
      <c r="B12" s="25"/>
      <c r="C12" s="25"/>
      <c r="D12" s="25"/>
      <c r="E12" s="25"/>
      <c r="F12" s="25"/>
    </row>
    <row r="13" customFormat="false" ht="15" hidden="false" customHeight="false" outlineLevel="0" collapsed="false">
      <c r="A13" s="25" t="s">
        <v>83</v>
      </c>
      <c r="B13" s="25"/>
      <c r="C13" s="25"/>
      <c r="D13" s="25"/>
      <c r="E13" s="25"/>
      <c r="F13" s="25"/>
    </row>
    <row r="14" customFormat="false" ht="15" hidden="false" customHeight="false" outlineLevel="0" collapsed="false">
      <c r="A14" s="25" t="s">
        <v>84</v>
      </c>
      <c r="B14" s="25"/>
      <c r="C14" s="25"/>
      <c r="D14" s="25"/>
      <c r="E14" s="25"/>
      <c r="F14" s="25"/>
    </row>
  </sheetData>
  <mergeCells count="4">
    <mergeCell ref="A11:F11"/>
    <mergeCell ref="A12:F1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1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3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28"/>
    <col collapsed="false" customWidth="true" hidden="false" outlineLevel="0" max="14" min="14" style="0" width="15"/>
    <col collapsed="false" customWidth="true" hidden="false" outlineLevel="0" max="15" min="15" style="0" width="50"/>
    <col collapsed="false" customWidth="true" hidden="false" outlineLevel="0" max="17" min="16" style="0" width="40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1" t="s">
        <v>88</v>
      </c>
    </row>
    <row r="4" customFormat="false" ht="46.25" hidden="false" customHeight="false" outlineLevel="0" collapsed="false">
      <c r="A4" s="3" t="s">
        <v>89</v>
      </c>
      <c r="B4" s="3" t="s">
        <v>2</v>
      </c>
      <c r="C4" s="3" t="s">
        <v>3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3" t="s">
        <v>98</v>
      </c>
      <c r="M4" s="3" t="s">
        <v>99</v>
      </c>
      <c r="N4" s="3" t="s">
        <v>100</v>
      </c>
      <c r="O4" s="3" t="s">
        <v>101</v>
      </c>
      <c r="P4" s="3" t="s">
        <v>102</v>
      </c>
      <c r="Q4" s="3" t="s">
        <v>103</v>
      </c>
    </row>
    <row r="5" customFormat="false" ht="23.85" hidden="false" customHeight="false" outlineLevel="0" collapsed="false">
      <c r="A5" s="15" t="s">
        <v>104</v>
      </c>
      <c r="B5" s="15" t="s">
        <v>17</v>
      </c>
      <c r="C5" s="15" t="s">
        <v>19</v>
      </c>
      <c r="D5" s="15" t="s">
        <v>4</v>
      </c>
      <c r="E5" s="15"/>
      <c r="F5" s="26" t="n">
        <v>42104</v>
      </c>
      <c r="G5" s="15" t="s">
        <v>105</v>
      </c>
      <c r="H5" s="15" t="s">
        <v>106</v>
      </c>
      <c r="I5" s="15" t="s">
        <v>107</v>
      </c>
      <c r="J5" s="15" t="s">
        <v>108</v>
      </c>
      <c r="K5" s="15" t="s">
        <v>109</v>
      </c>
      <c r="L5" s="15" t="n">
        <v>0</v>
      </c>
      <c r="M5" s="15" t="s">
        <v>110</v>
      </c>
      <c r="N5" s="15" t="s">
        <v>111</v>
      </c>
      <c r="O5" s="15" t="s">
        <v>112</v>
      </c>
      <c r="P5" s="27" t="s">
        <v>113</v>
      </c>
      <c r="Q5" s="27" t="s">
        <v>114</v>
      </c>
    </row>
    <row r="6" customFormat="false" ht="35.05" hidden="false" customHeight="false" outlineLevel="0" collapsed="false">
      <c r="A6" s="15" t="s">
        <v>115</v>
      </c>
      <c r="B6" s="15" t="s">
        <v>17</v>
      </c>
      <c r="C6" s="15" t="s">
        <v>19</v>
      </c>
      <c r="D6" s="15" t="s">
        <v>6</v>
      </c>
      <c r="E6" s="26" t="n">
        <v>42856</v>
      </c>
      <c r="F6" s="26" t="n">
        <v>42860</v>
      </c>
      <c r="G6" s="15" t="s">
        <v>116</v>
      </c>
      <c r="H6" s="15" t="s">
        <v>106</v>
      </c>
      <c r="I6" s="15" t="s">
        <v>107</v>
      </c>
      <c r="J6" s="15" t="s">
        <v>117</v>
      </c>
      <c r="K6" s="15" t="s">
        <v>109</v>
      </c>
      <c r="L6" s="15" t="n">
        <v>6</v>
      </c>
      <c r="M6" s="15" t="s">
        <v>118</v>
      </c>
      <c r="N6" s="15" t="s">
        <v>111</v>
      </c>
      <c r="O6" s="15" t="s">
        <v>119</v>
      </c>
      <c r="P6" s="27" t="s">
        <v>120</v>
      </c>
      <c r="Q6" s="27" t="s">
        <v>113</v>
      </c>
    </row>
    <row r="7" customFormat="false" ht="23.85" hidden="false" customHeight="false" outlineLevel="0" collapsed="false">
      <c r="A7" s="15" t="s">
        <v>121</v>
      </c>
      <c r="B7" s="15" t="s">
        <v>17</v>
      </c>
      <c r="C7" s="15" t="s">
        <v>18</v>
      </c>
      <c r="D7" s="15" t="s">
        <v>6</v>
      </c>
      <c r="E7" s="15"/>
      <c r="F7" s="26" t="n">
        <v>42867</v>
      </c>
      <c r="G7" s="15" t="s">
        <v>105</v>
      </c>
      <c r="H7" s="15" t="s">
        <v>106</v>
      </c>
      <c r="I7" s="15" t="s">
        <v>107</v>
      </c>
      <c r="J7" s="15" t="s">
        <v>117</v>
      </c>
      <c r="K7" s="15" t="s">
        <v>109</v>
      </c>
      <c r="L7" s="15" t="s">
        <v>30</v>
      </c>
      <c r="M7" s="15" t="s">
        <v>122</v>
      </c>
      <c r="N7" s="15" t="s">
        <v>111</v>
      </c>
      <c r="O7" s="15" t="s">
        <v>123</v>
      </c>
      <c r="P7" s="27" t="s">
        <v>124</v>
      </c>
      <c r="Q7" s="27" t="s">
        <v>114</v>
      </c>
    </row>
    <row r="8" customFormat="false" ht="68.65" hidden="false" customHeight="false" outlineLevel="0" collapsed="false">
      <c r="A8" s="28" t="s">
        <v>125</v>
      </c>
      <c r="B8" s="28" t="s">
        <v>17</v>
      </c>
      <c r="C8" s="28" t="s">
        <v>19</v>
      </c>
      <c r="D8" s="28" t="s">
        <v>8</v>
      </c>
      <c r="E8" s="29" t="n">
        <v>43647</v>
      </c>
      <c r="F8" s="29" t="n">
        <v>43651</v>
      </c>
      <c r="G8" s="28" t="s">
        <v>116</v>
      </c>
      <c r="H8" s="28" t="s">
        <v>106</v>
      </c>
      <c r="I8" s="28" t="s">
        <v>107</v>
      </c>
      <c r="J8" s="28" t="s">
        <v>126</v>
      </c>
      <c r="K8" s="28" t="s">
        <v>107</v>
      </c>
      <c r="L8" s="28" t="n">
        <v>4</v>
      </c>
      <c r="M8" s="28" t="s">
        <v>127</v>
      </c>
      <c r="N8" s="28" t="s">
        <v>128</v>
      </c>
      <c r="O8" s="28" t="s">
        <v>129</v>
      </c>
      <c r="P8" s="30" t="s">
        <v>130</v>
      </c>
      <c r="Q8" s="30" t="s">
        <v>131</v>
      </c>
    </row>
    <row r="9" customFormat="false" ht="23.85" hidden="false" customHeight="false" outlineLevel="0" collapsed="false">
      <c r="A9" s="15" t="s">
        <v>132</v>
      </c>
      <c r="B9" s="15" t="s">
        <v>17</v>
      </c>
      <c r="C9" s="15" t="s">
        <v>18</v>
      </c>
      <c r="D9" s="15" t="s">
        <v>8</v>
      </c>
      <c r="E9" s="15"/>
      <c r="F9" s="26" t="n">
        <v>43721</v>
      </c>
      <c r="G9" s="15" t="s">
        <v>105</v>
      </c>
      <c r="H9" s="15" t="s">
        <v>106</v>
      </c>
      <c r="I9" s="15" t="s">
        <v>107</v>
      </c>
      <c r="J9" s="15" t="s">
        <v>117</v>
      </c>
      <c r="K9" s="15" t="s">
        <v>109</v>
      </c>
      <c r="L9" s="15" t="s">
        <v>30</v>
      </c>
      <c r="M9" s="15" t="s">
        <v>133</v>
      </c>
      <c r="N9" s="15" t="s">
        <v>111</v>
      </c>
      <c r="O9" s="15" t="s">
        <v>134</v>
      </c>
      <c r="P9" s="27" t="s">
        <v>135</v>
      </c>
      <c r="Q9" s="27" t="s">
        <v>124</v>
      </c>
    </row>
    <row r="10" customFormat="false" ht="23.85" hidden="false" customHeight="false" outlineLevel="0" collapsed="false">
      <c r="A10" s="15" t="s">
        <v>136</v>
      </c>
      <c r="B10" s="15" t="s">
        <v>17</v>
      </c>
      <c r="C10" s="15" t="s">
        <v>18</v>
      </c>
      <c r="D10" s="15" t="s">
        <v>8</v>
      </c>
      <c r="E10" s="15"/>
      <c r="F10" s="26" t="n">
        <v>43760</v>
      </c>
      <c r="G10" s="15" t="s">
        <v>105</v>
      </c>
      <c r="H10" s="15" t="s">
        <v>106</v>
      </c>
      <c r="I10" s="15" t="s">
        <v>107</v>
      </c>
      <c r="J10" s="15" t="s">
        <v>117</v>
      </c>
      <c r="K10" s="15" t="s">
        <v>109</v>
      </c>
      <c r="L10" s="15" t="s">
        <v>30</v>
      </c>
      <c r="M10" s="15" t="s">
        <v>137</v>
      </c>
      <c r="N10" s="15" t="s">
        <v>111</v>
      </c>
      <c r="O10" s="15" t="s">
        <v>138</v>
      </c>
      <c r="P10" s="27" t="s">
        <v>139</v>
      </c>
      <c r="Q10" s="27" t="s">
        <v>114</v>
      </c>
    </row>
    <row r="11" customFormat="false" ht="46.25" hidden="false" customHeight="false" outlineLevel="0" collapsed="false">
      <c r="A11" s="15" t="s">
        <v>140</v>
      </c>
      <c r="B11" s="15" t="s">
        <v>17</v>
      </c>
      <c r="C11" s="15" t="s">
        <v>19</v>
      </c>
      <c r="D11" s="15" t="s">
        <v>11</v>
      </c>
      <c r="E11" s="26" t="n">
        <v>44830</v>
      </c>
      <c r="F11" s="26" t="n">
        <v>44834</v>
      </c>
      <c r="G11" s="15" t="s">
        <v>116</v>
      </c>
      <c r="H11" s="15" t="s">
        <v>106</v>
      </c>
      <c r="I11" s="15" t="s">
        <v>107</v>
      </c>
      <c r="J11" s="15" t="s">
        <v>117</v>
      </c>
      <c r="K11" s="15" t="s">
        <v>109</v>
      </c>
      <c r="L11" s="15" t="n">
        <v>6</v>
      </c>
      <c r="M11" s="15" t="s">
        <v>141</v>
      </c>
      <c r="N11" s="15" t="s">
        <v>111</v>
      </c>
      <c r="O11" s="15" t="s">
        <v>142</v>
      </c>
      <c r="P11" s="27" t="s">
        <v>143</v>
      </c>
      <c r="Q11" s="27" t="s">
        <v>113</v>
      </c>
    </row>
    <row r="12" customFormat="false" ht="46.25" hidden="false" customHeight="false" outlineLevel="0" collapsed="false">
      <c r="A12" s="15" t="s">
        <v>144</v>
      </c>
      <c r="B12" s="15" t="s">
        <v>17</v>
      </c>
      <c r="C12" s="15" t="s">
        <v>19</v>
      </c>
      <c r="D12" s="15" t="s">
        <v>12</v>
      </c>
      <c r="E12" s="15"/>
      <c r="F12" s="15" t="s">
        <v>145</v>
      </c>
      <c r="G12" s="15" t="s">
        <v>146</v>
      </c>
      <c r="H12" s="15" t="s">
        <v>147</v>
      </c>
      <c r="I12" s="15" t="s">
        <v>107</v>
      </c>
      <c r="J12" s="15" t="s">
        <v>148</v>
      </c>
      <c r="K12" s="15" t="s">
        <v>109</v>
      </c>
      <c r="L12" s="15" t="s">
        <v>30</v>
      </c>
      <c r="M12" s="15" t="s">
        <v>149</v>
      </c>
      <c r="N12" s="15" t="s">
        <v>150</v>
      </c>
      <c r="O12" s="15" t="s">
        <v>151</v>
      </c>
      <c r="P12" s="27" t="s">
        <v>152</v>
      </c>
      <c r="Q12" s="27" t="s">
        <v>153</v>
      </c>
    </row>
    <row r="13" customFormat="false" ht="35.05" hidden="false" customHeight="false" outlineLevel="0" collapsed="false">
      <c r="A13" s="15" t="s">
        <v>154</v>
      </c>
      <c r="B13" s="15" t="s">
        <v>17</v>
      </c>
      <c r="C13" s="15" t="s">
        <v>18</v>
      </c>
      <c r="D13" s="15" t="s">
        <v>14</v>
      </c>
      <c r="E13" s="15" t="s">
        <v>155</v>
      </c>
      <c r="F13" s="26" t="n">
        <v>46115</v>
      </c>
      <c r="G13" s="15" t="s">
        <v>156</v>
      </c>
      <c r="H13" s="15" t="s">
        <v>106</v>
      </c>
      <c r="I13" s="15" t="s">
        <v>107</v>
      </c>
      <c r="J13" s="15" t="s">
        <v>157</v>
      </c>
      <c r="K13" s="15" t="s">
        <v>109</v>
      </c>
      <c r="L13" s="15" t="s">
        <v>158</v>
      </c>
      <c r="M13" s="15" t="s">
        <v>159</v>
      </c>
      <c r="N13" s="15" t="s">
        <v>111</v>
      </c>
      <c r="O13" s="15" t="s">
        <v>160</v>
      </c>
      <c r="P13" s="27" t="s">
        <v>161</v>
      </c>
      <c r="Q13" s="27" t="s">
        <v>162</v>
      </c>
    </row>
    <row r="14" customFormat="false" ht="15" hidden="false" customHeight="false" outlineLevel="0" collapsed="false">
      <c r="A14" s="15" t="s">
        <v>163</v>
      </c>
      <c r="B14" s="15" t="s">
        <v>17</v>
      </c>
      <c r="C14" s="15" t="s">
        <v>19</v>
      </c>
      <c r="D14" s="15" t="s">
        <v>164</v>
      </c>
      <c r="E14" s="26" t="n">
        <v>46244</v>
      </c>
      <c r="F14" s="26" t="n">
        <v>46248</v>
      </c>
      <c r="G14" s="15" t="s">
        <v>165</v>
      </c>
      <c r="H14" s="15" t="s">
        <v>106</v>
      </c>
      <c r="I14" s="15" t="s">
        <v>107</v>
      </c>
      <c r="J14" s="15" t="s">
        <v>166</v>
      </c>
      <c r="K14" s="15" t="s">
        <v>109</v>
      </c>
      <c r="L14" s="15" t="n">
        <v>4</v>
      </c>
      <c r="M14" s="15" t="s">
        <v>167</v>
      </c>
      <c r="N14" s="15" t="s">
        <v>111</v>
      </c>
      <c r="O14" s="15" t="s">
        <v>168</v>
      </c>
      <c r="P14" s="27" t="s">
        <v>169</v>
      </c>
      <c r="Q14" s="27" t="s">
        <v>170</v>
      </c>
    </row>
    <row r="15" customFormat="false" ht="46.25" hidden="false" customHeight="false" outlineLevel="0" collapsed="false">
      <c r="A15" s="15" t="s">
        <v>171</v>
      </c>
      <c r="B15" s="15" t="s">
        <v>17</v>
      </c>
      <c r="C15" s="15" t="s">
        <v>18</v>
      </c>
      <c r="D15" s="15" t="s">
        <v>11</v>
      </c>
      <c r="E15" s="15"/>
      <c r="F15" s="15" t="s">
        <v>172</v>
      </c>
      <c r="G15" s="15" t="s">
        <v>173</v>
      </c>
      <c r="H15" s="15" t="s">
        <v>174</v>
      </c>
      <c r="I15" s="15" t="s">
        <v>109</v>
      </c>
      <c r="J15" s="15" t="s">
        <v>175</v>
      </c>
      <c r="K15" s="15" t="s">
        <v>109</v>
      </c>
      <c r="L15" s="15" t="s">
        <v>175</v>
      </c>
      <c r="M15" s="15" t="s">
        <v>176</v>
      </c>
      <c r="N15" s="15" t="s">
        <v>177</v>
      </c>
      <c r="O15" s="15" t="s">
        <v>178</v>
      </c>
      <c r="P15" s="27" t="s">
        <v>179</v>
      </c>
      <c r="Q15" s="27" t="s">
        <v>152</v>
      </c>
    </row>
    <row r="16" customFormat="false" ht="35.05" hidden="false" customHeight="false" outlineLevel="0" collapsed="false">
      <c r="A16" s="15" t="s">
        <v>180</v>
      </c>
      <c r="B16" s="15" t="s">
        <v>20</v>
      </c>
      <c r="C16" s="15" t="s">
        <v>18</v>
      </c>
      <c r="D16" s="15" t="s">
        <v>4</v>
      </c>
      <c r="E16" s="15"/>
      <c r="F16" s="15" t="s">
        <v>181</v>
      </c>
      <c r="G16" s="15" t="s">
        <v>182</v>
      </c>
      <c r="H16" s="15" t="s">
        <v>183</v>
      </c>
      <c r="I16" s="15" t="s">
        <v>107</v>
      </c>
      <c r="J16" s="15" t="s">
        <v>184</v>
      </c>
      <c r="K16" s="15" t="s">
        <v>109</v>
      </c>
      <c r="L16" s="15" t="s">
        <v>175</v>
      </c>
      <c r="M16" s="15" t="s">
        <v>185</v>
      </c>
      <c r="N16" s="15" t="s">
        <v>177</v>
      </c>
      <c r="O16" s="15" t="s">
        <v>186</v>
      </c>
      <c r="P16" s="27" t="s">
        <v>187</v>
      </c>
      <c r="Q16" s="15"/>
    </row>
    <row r="17" customFormat="false" ht="35.05" hidden="false" customHeight="false" outlineLevel="0" collapsed="false">
      <c r="A17" s="15" t="s">
        <v>188</v>
      </c>
      <c r="B17" s="15" t="s">
        <v>20</v>
      </c>
      <c r="C17" s="15" t="s">
        <v>19</v>
      </c>
      <c r="D17" s="15" t="s">
        <v>4</v>
      </c>
      <c r="E17" s="15"/>
      <c r="F17" s="15" t="s">
        <v>181</v>
      </c>
      <c r="G17" s="15" t="s">
        <v>182</v>
      </c>
      <c r="H17" s="15" t="s">
        <v>183</v>
      </c>
      <c r="I17" s="15" t="s">
        <v>107</v>
      </c>
      <c r="J17" s="15" t="s">
        <v>184</v>
      </c>
      <c r="K17" s="15" t="s">
        <v>109</v>
      </c>
      <c r="L17" s="15" t="s">
        <v>175</v>
      </c>
      <c r="M17" s="15" t="s">
        <v>185</v>
      </c>
      <c r="N17" s="15" t="s">
        <v>177</v>
      </c>
      <c r="O17" s="15" t="s">
        <v>186</v>
      </c>
      <c r="P17" s="27" t="s">
        <v>187</v>
      </c>
      <c r="Q17" s="15"/>
    </row>
    <row r="18" customFormat="false" ht="35.05" hidden="false" customHeight="false" outlineLevel="0" collapsed="false">
      <c r="A18" s="15" t="s">
        <v>189</v>
      </c>
      <c r="B18" s="15" t="s">
        <v>20</v>
      </c>
      <c r="C18" s="15" t="s">
        <v>18</v>
      </c>
      <c r="D18" s="15" t="s">
        <v>7</v>
      </c>
      <c r="E18" s="15"/>
      <c r="F18" s="15" t="s">
        <v>190</v>
      </c>
      <c r="G18" s="15" t="s">
        <v>191</v>
      </c>
      <c r="H18" s="15" t="s">
        <v>183</v>
      </c>
      <c r="I18" s="15" t="s">
        <v>107</v>
      </c>
      <c r="J18" s="15" t="s">
        <v>184</v>
      </c>
      <c r="K18" s="15" t="s">
        <v>109</v>
      </c>
      <c r="L18" s="15" t="s">
        <v>175</v>
      </c>
      <c r="M18" s="15" t="s">
        <v>185</v>
      </c>
      <c r="N18" s="15" t="s">
        <v>177</v>
      </c>
      <c r="O18" s="15" t="s">
        <v>186</v>
      </c>
      <c r="P18" s="27" t="s">
        <v>187</v>
      </c>
      <c r="Q18" s="15"/>
    </row>
    <row r="19" customFormat="false" ht="35.05" hidden="false" customHeight="false" outlineLevel="0" collapsed="false">
      <c r="A19" s="15" t="s">
        <v>192</v>
      </c>
      <c r="B19" s="15" t="s">
        <v>20</v>
      </c>
      <c r="C19" s="15" t="s">
        <v>19</v>
      </c>
      <c r="D19" s="15" t="s">
        <v>7</v>
      </c>
      <c r="E19" s="15"/>
      <c r="F19" s="15" t="s">
        <v>190</v>
      </c>
      <c r="G19" s="15" t="s">
        <v>191</v>
      </c>
      <c r="H19" s="15" t="s">
        <v>183</v>
      </c>
      <c r="I19" s="15" t="s">
        <v>107</v>
      </c>
      <c r="J19" s="15" t="s">
        <v>184</v>
      </c>
      <c r="K19" s="15" t="s">
        <v>109</v>
      </c>
      <c r="L19" s="15" t="s">
        <v>175</v>
      </c>
      <c r="M19" s="15" t="s">
        <v>185</v>
      </c>
      <c r="N19" s="15" t="s">
        <v>177</v>
      </c>
      <c r="O19" s="15" t="s">
        <v>186</v>
      </c>
      <c r="P19" s="27" t="s">
        <v>187</v>
      </c>
      <c r="Q19" s="15"/>
    </row>
    <row r="20" customFormat="false" ht="57.45" hidden="false" customHeight="false" outlineLevel="0" collapsed="false">
      <c r="A20" s="28" t="s">
        <v>193</v>
      </c>
      <c r="B20" s="28" t="s">
        <v>20</v>
      </c>
      <c r="C20" s="28" t="s">
        <v>18</v>
      </c>
      <c r="D20" s="28" t="s">
        <v>8</v>
      </c>
      <c r="E20" s="28"/>
      <c r="F20" s="28" t="s">
        <v>194</v>
      </c>
      <c r="G20" s="28" t="s">
        <v>195</v>
      </c>
      <c r="H20" s="28" t="s">
        <v>196</v>
      </c>
      <c r="I20" s="28" t="s">
        <v>107</v>
      </c>
      <c r="J20" s="28" t="s">
        <v>197</v>
      </c>
      <c r="K20" s="28" t="s">
        <v>107</v>
      </c>
      <c r="L20" s="28" t="s">
        <v>175</v>
      </c>
      <c r="M20" s="28" t="s">
        <v>198</v>
      </c>
      <c r="N20" s="28" t="s">
        <v>199</v>
      </c>
      <c r="O20" s="28" t="s">
        <v>200</v>
      </c>
      <c r="P20" s="30" t="s">
        <v>201</v>
      </c>
      <c r="Q20" s="28"/>
    </row>
    <row r="21" customFormat="false" ht="35.05" hidden="false" customHeight="false" outlineLevel="0" collapsed="false">
      <c r="A21" s="15" t="s">
        <v>202</v>
      </c>
      <c r="B21" s="15" t="s">
        <v>20</v>
      </c>
      <c r="C21" s="15" t="s">
        <v>18</v>
      </c>
      <c r="D21" s="15" t="s">
        <v>9</v>
      </c>
      <c r="E21" s="15"/>
      <c r="F21" s="26" t="n">
        <v>43997</v>
      </c>
      <c r="G21" s="15" t="s">
        <v>203</v>
      </c>
      <c r="H21" s="15" t="s">
        <v>204</v>
      </c>
      <c r="I21" s="15" t="s">
        <v>107</v>
      </c>
      <c r="J21" s="15" t="s">
        <v>205</v>
      </c>
      <c r="K21" s="15" t="s">
        <v>109</v>
      </c>
      <c r="L21" s="15" t="s">
        <v>175</v>
      </c>
      <c r="M21" s="15" t="s">
        <v>206</v>
      </c>
      <c r="N21" s="15" t="s">
        <v>111</v>
      </c>
      <c r="O21" s="15" t="s">
        <v>207</v>
      </c>
      <c r="P21" s="27" t="s">
        <v>208</v>
      </c>
      <c r="Q21" s="15"/>
    </row>
    <row r="22" customFormat="false" ht="23.85" hidden="false" customHeight="false" outlineLevel="0" collapsed="false">
      <c r="A22" s="15" t="s">
        <v>209</v>
      </c>
      <c r="B22" s="15" t="s">
        <v>20</v>
      </c>
      <c r="C22" s="15" t="s">
        <v>18</v>
      </c>
      <c r="D22" s="15" t="s">
        <v>11</v>
      </c>
      <c r="E22" s="15"/>
      <c r="F22" s="15" t="s">
        <v>210</v>
      </c>
      <c r="G22" s="15" t="s">
        <v>211</v>
      </c>
      <c r="H22" s="15" t="s">
        <v>212</v>
      </c>
      <c r="I22" s="15" t="s">
        <v>107</v>
      </c>
      <c r="J22" s="15" t="s">
        <v>213</v>
      </c>
      <c r="K22" s="15" t="s">
        <v>109</v>
      </c>
      <c r="L22" s="15" t="s">
        <v>175</v>
      </c>
      <c r="M22" s="15" t="s">
        <v>214</v>
      </c>
      <c r="N22" s="15" t="s">
        <v>150</v>
      </c>
      <c r="O22" s="15" t="s">
        <v>215</v>
      </c>
      <c r="P22" s="27" t="s">
        <v>216</v>
      </c>
      <c r="Q22" s="15"/>
    </row>
    <row r="23" customFormat="false" ht="23.85" hidden="false" customHeight="false" outlineLevel="0" collapsed="false">
      <c r="A23" s="15" t="s">
        <v>217</v>
      </c>
      <c r="B23" s="15" t="s">
        <v>20</v>
      </c>
      <c r="C23" s="15" t="s">
        <v>19</v>
      </c>
      <c r="D23" s="15" t="s">
        <v>12</v>
      </c>
      <c r="E23" s="15"/>
      <c r="F23" s="15" t="s">
        <v>218</v>
      </c>
      <c r="G23" s="15" t="s">
        <v>211</v>
      </c>
      <c r="H23" s="15" t="s">
        <v>212</v>
      </c>
      <c r="I23" s="15" t="s">
        <v>107</v>
      </c>
      <c r="J23" s="15" t="s">
        <v>219</v>
      </c>
      <c r="K23" s="15" t="s">
        <v>109</v>
      </c>
      <c r="L23" s="15" t="s">
        <v>175</v>
      </c>
      <c r="M23" s="15" t="s">
        <v>220</v>
      </c>
      <c r="N23" s="15" t="s">
        <v>150</v>
      </c>
      <c r="O23" s="15"/>
      <c r="P23" s="27" t="s">
        <v>216</v>
      </c>
      <c r="Q23" s="15"/>
    </row>
    <row r="24" customFormat="false" ht="23.85" hidden="false" customHeight="false" outlineLevel="0" collapsed="false">
      <c r="A24" s="15" t="s">
        <v>221</v>
      </c>
      <c r="B24" s="15" t="s">
        <v>20</v>
      </c>
      <c r="C24" s="15" t="s">
        <v>18</v>
      </c>
      <c r="D24" s="15" t="s">
        <v>14</v>
      </c>
      <c r="E24" s="15"/>
      <c r="F24" s="26" t="n">
        <v>46094</v>
      </c>
      <c r="G24" s="15" t="s">
        <v>222</v>
      </c>
      <c r="H24" s="15" t="s">
        <v>223</v>
      </c>
      <c r="I24" s="15" t="s">
        <v>107</v>
      </c>
      <c r="J24" s="15" t="s">
        <v>224</v>
      </c>
      <c r="K24" s="15" t="s">
        <v>109</v>
      </c>
      <c r="L24" s="15" t="s">
        <v>175</v>
      </c>
      <c r="M24" s="15" t="s">
        <v>225</v>
      </c>
      <c r="N24" s="15" t="s">
        <v>111</v>
      </c>
      <c r="O24" s="15"/>
      <c r="P24" s="27" t="s">
        <v>226</v>
      </c>
      <c r="Q24" s="27" t="s">
        <v>161</v>
      </c>
    </row>
    <row r="25" customFormat="false" ht="23.85" hidden="false" customHeight="false" outlineLevel="0" collapsed="false">
      <c r="A25" s="15" t="s">
        <v>227</v>
      </c>
      <c r="B25" s="15" t="s">
        <v>20</v>
      </c>
      <c r="C25" s="15" t="s">
        <v>19</v>
      </c>
      <c r="D25" s="15" t="s">
        <v>14</v>
      </c>
      <c r="E25" s="15"/>
      <c r="F25" s="26" t="n">
        <v>46101</v>
      </c>
      <c r="G25" s="15" t="s">
        <v>222</v>
      </c>
      <c r="H25" s="15" t="s">
        <v>223</v>
      </c>
      <c r="I25" s="15" t="s">
        <v>107</v>
      </c>
      <c r="J25" s="15" t="s">
        <v>228</v>
      </c>
      <c r="K25" s="15" t="s">
        <v>109</v>
      </c>
      <c r="L25" s="15" t="s">
        <v>175</v>
      </c>
      <c r="M25" s="15" t="s">
        <v>229</v>
      </c>
      <c r="N25" s="15" t="s">
        <v>111</v>
      </c>
      <c r="O25" s="15"/>
      <c r="P25" s="27" t="s">
        <v>226</v>
      </c>
      <c r="Q25" s="27" t="s">
        <v>161</v>
      </c>
    </row>
    <row r="26" customFormat="false" ht="35.05" hidden="false" customHeight="false" outlineLevel="0" collapsed="false">
      <c r="A26" s="15" t="s">
        <v>230</v>
      </c>
      <c r="B26" s="15" t="s">
        <v>21</v>
      </c>
      <c r="C26" s="15" t="s">
        <v>19</v>
      </c>
      <c r="D26" s="15" t="s">
        <v>12</v>
      </c>
      <c r="E26" s="15"/>
      <c r="F26" s="26" t="n">
        <v>45117</v>
      </c>
      <c r="G26" s="15" t="s">
        <v>231</v>
      </c>
      <c r="H26" s="15" t="s">
        <v>232</v>
      </c>
      <c r="I26" s="15" t="s">
        <v>109</v>
      </c>
      <c r="J26" s="15" t="s">
        <v>233</v>
      </c>
      <c r="K26" s="15" t="s">
        <v>109</v>
      </c>
      <c r="L26" s="15" t="s">
        <v>175</v>
      </c>
      <c r="M26" s="15" t="s">
        <v>234</v>
      </c>
      <c r="N26" s="15" t="s">
        <v>235</v>
      </c>
      <c r="O26" s="15" t="s">
        <v>236</v>
      </c>
      <c r="P26" s="27" t="s">
        <v>237</v>
      </c>
      <c r="Q26" s="15"/>
    </row>
    <row r="27" customFormat="false" ht="35.05" hidden="false" customHeight="false" outlineLevel="0" collapsed="false">
      <c r="A27" s="15" t="s">
        <v>238</v>
      </c>
      <c r="B27" s="15" t="s">
        <v>21</v>
      </c>
      <c r="C27" s="15" t="s">
        <v>19</v>
      </c>
      <c r="D27" s="15" t="s">
        <v>13</v>
      </c>
      <c r="E27" s="15"/>
      <c r="F27" s="26" t="n">
        <v>45432</v>
      </c>
      <c r="G27" s="15" t="s">
        <v>231</v>
      </c>
      <c r="H27" s="15" t="s">
        <v>232</v>
      </c>
      <c r="I27" s="15" t="s">
        <v>109</v>
      </c>
      <c r="J27" s="15" t="s">
        <v>239</v>
      </c>
      <c r="K27" s="15" t="s">
        <v>109</v>
      </c>
      <c r="L27" s="15" t="s">
        <v>175</v>
      </c>
      <c r="M27" s="15" t="s">
        <v>240</v>
      </c>
      <c r="N27" s="15" t="s">
        <v>235</v>
      </c>
      <c r="O27" s="15" t="s">
        <v>236</v>
      </c>
      <c r="P27" s="27" t="s">
        <v>241</v>
      </c>
      <c r="Q27" s="15"/>
    </row>
    <row r="28" customFormat="false" ht="35.05" hidden="false" customHeight="false" outlineLevel="0" collapsed="false">
      <c r="A28" s="15" t="s">
        <v>242</v>
      </c>
      <c r="B28" s="15" t="s">
        <v>21</v>
      </c>
      <c r="C28" s="15" t="s">
        <v>19</v>
      </c>
      <c r="D28" s="15" t="s">
        <v>14</v>
      </c>
      <c r="E28" s="15"/>
      <c r="F28" s="26" t="n">
        <v>45852</v>
      </c>
      <c r="G28" s="15" t="s">
        <v>231</v>
      </c>
      <c r="H28" s="15" t="s">
        <v>243</v>
      </c>
      <c r="I28" s="15" t="s">
        <v>109</v>
      </c>
      <c r="J28" s="15" t="s">
        <v>233</v>
      </c>
      <c r="K28" s="15" t="s">
        <v>109</v>
      </c>
      <c r="L28" s="15" t="s">
        <v>175</v>
      </c>
      <c r="M28" s="15" t="s">
        <v>244</v>
      </c>
      <c r="N28" s="15" t="s">
        <v>235</v>
      </c>
      <c r="O28" s="15" t="s">
        <v>236</v>
      </c>
      <c r="P28" s="27" t="s">
        <v>245</v>
      </c>
      <c r="Q28" s="15"/>
    </row>
    <row r="29" customFormat="false" ht="46.25" hidden="false" customHeight="false" outlineLevel="0" collapsed="false">
      <c r="A29" s="15" t="s">
        <v>246</v>
      </c>
      <c r="B29" s="15" t="s">
        <v>21</v>
      </c>
      <c r="C29" s="15" t="s">
        <v>18</v>
      </c>
      <c r="D29" s="15" t="s">
        <v>14</v>
      </c>
      <c r="E29" s="15"/>
      <c r="F29" s="26" t="n">
        <v>45887</v>
      </c>
      <c r="G29" s="15" t="s">
        <v>231</v>
      </c>
      <c r="H29" s="15" t="s">
        <v>247</v>
      </c>
      <c r="I29" s="15" t="s">
        <v>109</v>
      </c>
      <c r="J29" s="15" t="s">
        <v>248</v>
      </c>
      <c r="K29" s="15" t="s">
        <v>109</v>
      </c>
      <c r="L29" s="15" t="s">
        <v>175</v>
      </c>
      <c r="M29" s="15" t="s">
        <v>249</v>
      </c>
      <c r="N29" s="15" t="s">
        <v>235</v>
      </c>
      <c r="O29" s="15" t="s">
        <v>250</v>
      </c>
      <c r="P29" s="27" t="s">
        <v>251</v>
      </c>
      <c r="Q29" s="15"/>
    </row>
    <row r="30" customFormat="false" ht="35.05" hidden="false" customHeight="false" outlineLevel="0" collapsed="false">
      <c r="A30" s="15" t="s">
        <v>252</v>
      </c>
      <c r="B30" s="15" t="s">
        <v>21</v>
      </c>
      <c r="C30" s="15" t="s">
        <v>19</v>
      </c>
      <c r="D30" s="15" t="s">
        <v>164</v>
      </c>
      <c r="E30" s="15"/>
      <c r="F30" s="26" t="n">
        <v>46160</v>
      </c>
      <c r="G30" s="15" t="s">
        <v>231</v>
      </c>
      <c r="H30" s="15" t="s">
        <v>253</v>
      </c>
      <c r="I30" s="15" t="s">
        <v>109</v>
      </c>
      <c r="J30" s="15" t="s">
        <v>254</v>
      </c>
      <c r="K30" s="15" t="s">
        <v>109</v>
      </c>
      <c r="L30" s="15" t="s">
        <v>175</v>
      </c>
      <c r="M30" s="15" t="s">
        <v>255</v>
      </c>
      <c r="N30" s="15" t="s">
        <v>111</v>
      </c>
      <c r="O30" s="15" t="s">
        <v>256</v>
      </c>
      <c r="P30" s="27" t="s">
        <v>257</v>
      </c>
      <c r="Q30" s="15"/>
    </row>
    <row r="31" customFormat="false" ht="35.05" hidden="false" customHeight="false" outlineLevel="0" collapsed="false">
      <c r="A31" s="15" t="s">
        <v>258</v>
      </c>
      <c r="B31" s="15" t="s">
        <v>21</v>
      </c>
      <c r="C31" s="15" t="s">
        <v>259</v>
      </c>
      <c r="D31" s="15" t="s">
        <v>260</v>
      </c>
      <c r="E31" s="15"/>
      <c r="F31" s="15" t="s">
        <v>261</v>
      </c>
      <c r="G31" s="15" t="s">
        <v>262</v>
      </c>
      <c r="H31" s="15" t="s">
        <v>263</v>
      </c>
      <c r="I31" s="15" t="s">
        <v>109</v>
      </c>
      <c r="J31" s="15" t="s">
        <v>264</v>
      </c>
      <c r="K31" s="15" t="s">
        <v>109</v>
      </c>
      <c r="L31" s="15" t="s">
        <v>175</v>
      </c>
      <c r="M31" s="15"/>
      <c r="N31" s="15" t="s">
        <v>177</v>
      </c>
      <c r="O31" s="15" t="s">
        <v>265</v>
      </c>
      <c r="P31" s="27" t="s">
        <v>152</v>
      </c>
      <c r="Q31" s="27" t="s">
        <v>170</v>
      </c>
    </row>
    <row r="32" customFormat="false" ht="23.85" hidden="false" customHeight="false" outlineLevel="0" collapsed="false">
      <c r="A32" s="15" t="s">
        <v>266</v>
      </c>
      <c r="B32" s="15" t="s">
        <v>22</v>
      </c>
      <c r="C32" s="15" t="s">
        <v>18</v>
      </c>
      <c r="D32" s="15" t="s">
        <v>5</v>
      </c>
      <c r="E32" s="15"/>
      <c r="F32" s="15" t="s">
        <v>267</v>
      </c>
      <c r="G32" s="15" t="s">
        <v>268</v>
      </c>
      <c r="H32" s="15" t="s">
        <v>269</v>
      </c>
      <c r="I32" s="15" t="s">
        <v>109</v>
      </c>
      <c r="J32" s="15" t="s">
        <v>270</v>
      </c>
      <c r="K32" s="15" t="s">
        <v>109</v>
      </c>
      <c r="L32" s="15" t="s">
        <v>175</v>
      </c>
      <c r="M32" s="15" t="s">
        <v>271</v>
      </c>
      <c r="N32" s="15" t="s">
        <v>272</v>
      </c>
      <c r="O32" s="15" t="s">
        <v>273</v>
      </c>
      <c r="P32" s="27" t="s">
        <v>274</v>
      </c>
      <c r="Q32" s="27" t="s">
        <v>275</v>
      </c>
    </row>
    <row r="33" customFormat="false" ht="23.85" hidden="false" customHeight="false" outlineLevel="0" collapsed="false">
      <c r="A33" s="15" t="s">
        <v>276</v>
      </c>
      <c r="B33" s="15" t="s">
        <v>22</v>
      </c>
      <c r="C33" s="15" t="s">
        <v>18</v>
      </c>
      <c r="D33" s="15" t="s">
        <v>10</v>
      </c>
      <c r="E33" s="15"/>
      <c r="F33" s="26" t="n">
        <v>44619</v>
      </c>
      <c r="G33" s="15" t="s">
        <v>277</v>
      </c>
      <c r="H33" s="15" t="s">
        <v>278</v>
      </c>
      <c r="I33" s="15" t="s">
        <v>109</v>
      </c>
      <c r="J33" s="15" t="s">
        <v>279</v>
      </c>
      <c r="K33" s="15" t="s">
        <v>109</v>
      </c>
      <c r="L33" s="15" t="s">
        <v>175</v>
      </c>
      <c r="M33" s="15" t="s">
        <v>271</v>
      </c>
      <c r="N33" s="15" t="s">
        <v>111</v>
      </c>
      <c r="O33" s="15" t="s">
        <v>280</v>
      </c>
      <c r="P33" s="27" t="s">
        <v>274</v>
      </c>
      <c r="Q33" s="15"/>
    </row>
    <row r="34" customFormat="false" ht="15" hidden="false" customHeight="false" outlineLevel="0" collapsed="false">
      <c r="A34" s="15" t="s">
        <v>281</v>
      </c>
      <c r="B34" s="15" t="s">
        <v>22</v>
      </c>
      <c r="C34" s="15" t="s">
        <v>18</v>
      </c>
      <c r="D34" s="15" t="s">
        <v>6</v>
      </c>
      <c r="E34" s="15"/>
      <c r="F34" s="26" t="n">
        <v>42850</v>
      </c>
      <c r="G34" s="15" t="s">
        <v>282</v>
      </c>
      <c r="H34" s="15" t="s">
        <v>283</v>
      </c>
      <c r="I34" s="15" t="s">
        <v>109</v>
      </c>
      <c r="J34" s="15" t="s">
        <v>284</v>
      </c>
      <c r="K34" s="15" t="s">
        <v>109</v>
      </c>
      <c r="L34" s="15" t="s">
        <v>175</v>
      </c>
      <c r="M34" s="15" t="s">
        <v>285</v>
      </c>
      <c r="N34" s="15" t="s">
        <v>111</v>
      </c>
      <c r="O34" s="15"/>
      <c r="P34" s="27" t="s">
        <v>286</v>
      </c>
      <c r="Q34" s="15"/>
    </row>
    <row r="35" customFormat="false" ht="15" hidden="false" customHeight="false" outlineLevel="0" collapsed="false">
      <c r="A35" s="15" t="s">
        <v>287</v>
      </c>
      <c r="B35" s="15" t="s">
        <v>22</v>
      </c>
      <c r="C35" s="15" t="s">
        <v>18</v>
      </c>
      <c r="D35" s="15" t="s">
        <v>6</v>
      </c>
      <c r="E35" s="15"/>
      <c r="F35" s="26" t="n">
        <v>42888</v>
      </c>
      <c r="G35" s="15" t="s">
        <v>282</v>
      </c>
      <c r="H35" s="15" t="s">
        <v>283</v>
      </c>
      <c r="I35" s="15" t="s">
        <v>109</v>
      </c>
      <c r="J35" s="15" t="s">
        <v>288</v>
      </c>
      <c r="K35" s="15" t="s">
        <v>109</v>
      </c>
      <c r="L35" s="15" t="s">
        <v>175</v>
      </c>
      <c r="M35" s="15" t="s">
        <v>289</v>
      </c>
      <c r="N35" s="15" t="s">
        <v>111</v>
      </c>
      <c r="O35" s="15"/>
      <c r="P35" s="27" t="s">
        <v>286</v>
      </c>
      <c r="Q35" s="15"/>
    </row>
    <row r="36" customFormat="false" ht="35.05" hidden="false" customHeight="false" outlineLevel="0" collapsed="false">
      <c r="A36" s="15" t="s">
        <v>290</v>
      </c>
      <c r="B36" s="15" t="s">
        <v>22</v>
      </c>
      <c r="C36" s="15" t="s">
        <v>18</v>
      </c>
      <c r="D36" s="15" t="s">
        <v>260</v>
      </c>
      <c r="E36" s="15"/>
      <c r="F36" s="15" t="s">
        <v>261</v>
      </c>
      <c r="G36" s="15" t="s">
        <v>262</v>
      </c>
      <c r="H36" s="15" t="s">
        <v>291</v>
      </c>
      <c r="I36" s="15" t="s">
        <v>109</v>
      </c>
      <c r="J36" s="15" t="s">
        <v>264</v>
      </c>
      <c r="K36" s="15" t="s">
        <v>109</v>
      </c>
      <c r="L36" s="15" t="s">
        <v>175</v>
      </c>
      <c r="M36" s="15"/>
      <c r="N36" s="15" t="s">
        <v>292</v>
      </c>
      <c r="O36" s="15" t="s">
        <v>293</v>
      </c>
      <c r="P36" s="27" t="s">
        <v>152</v>
      </c>
      <c r="Q36" s="27" t="s">
        <v>170</v>
      </c>
    </row>
    <row r="37" customFormat="false" ht="35.05" hidden="false" customHeight="false" outlineLevel="0" collapsed="false">
      <c r="A37" s="15" t="s">
        <v>294</v>
      </c>
      <c r="B37" s="15" t="s">
        <v>23</v>
      </c>
      <c r="C37" s="15" t="s">
        <v>19</v>
      </c>
      <c r="D37" s="15" t="s">
        <v>295</v>
      </c>
      <c r="E37" s="15"/>
      <c r="F37" s="15" t="s">
        <v>296</v>
      </c>
      <c r="G37" s="15" t="s">
        <v>297</v>
      </c>
      <c r="H37" s="15" t="s">
        <v>298</v>
      </c>
      <c r="I37" s="15" t="s">
        <v>109</v>
      </c>
      <c r="J37" s="15" t="s">
        <v>299</v>
      </c>
      <c r="K37" s="15" t="s">
        <v>109</v>
      </c>
      <c r="L37" s="15" t="s">
        <v>175</v>
      </c>
      <c r="M37" s="15"/>
      <c r="N37" s="15" t="s">
        <v>177</v>
      </c>
      <c r="O37" s="15" t="s">
        <v>300</v>
      </c>
      <c r="P37" s="27" t="s">
        <v>170</v>
      </c>
      <c r="Q37" s="27" t="s">
        <v>301</v>
      </c>
    </row>
    <row r="38" customFormat="false" ht="23.85" hidden="false" customHeight="false" outlineLevel="0" collapsed="false">
      <c r="A38" s="15" t="s">
        <v>302</v>
      </c>
      <c r="B38" s="15" t="s">
        <v>23</v>
      </c>
      <c r="C38" s="15" t="s">
        <v>18</v>
      </c>
      <c r="D38" s="15" t="s">
        <v>4</v>
      </c>
      <c r="E38" s="15"/>
      <c r="F38" s="26" t="n">
        <v>42254</v>
      </c>
      <c r="G38" s="15" t="s">
        <v>303</v>
      </c>
      <c r="H38" s="15" t="s">
        <v>304</v>
      </c>
      <c r="I38" s="15" t="s">
        <v>109</v>
      </c>
      <c r="J38" s="15" t="s">
        <v>305</v>
      </c>
      <c r="K38" s="15" t="s">
        <v>109</v>
      </c>
      <c r="L38" s="15" t="s">
        <v>175</v>
      </c>
      <c r="M38" s="15"/>
      <c r="N38" s="15" t="s">
        <v>150</v>
      </c>
      <c r="O38" s="15" t="s">
        <v>306</v>
      </c>
      <c r="P38" s="27" t="s">
        <v>307</v>
      </c>
      <c r="Q38" s="15"/>
    </row>
    <row r="39" customFormat="false" ht="23.85" hidden="false" customHeight="false" outlineLevel="0" collapsed="false">
      <c r="A39" s="15" t="s">
        <v>308</v>
      </c>
      <c r="B39" s="15" t="s">
        <v>23</v>
      </c>
      <c r="C39" s="15" t="s">
        <v>19</v>
      </c>
      <c r="D39" s="15" t="s">
        <v>10</v>
      </c>
      <c r="E39" s="15"/>
      <c r="F39" s="26" t="n">
        <v>44392</v>
      </c>
      <c r="G39" s="15" t="s">
        <v>303</v>
      </c>
      <c r="H39" s="15" t="s">
        <v>304</v>
      </c>
      <c r="I39" s="15" t="s">
        <v>109</v>
      </c>
      <c r="J39" s="15" t="s">
        <v>309</v>
      </c>
      <c r="K39" s="15" t="s">
        <v>109</v>
      </c>
      <c r="L39" s="15" t="s">
        <v>175</v>
      </c>
      <c r="M39" s="15"/>
      <c r="N39" s="15" t="s">
        <v>150</v>
      </c>
      <c r="O39" s="15" t="s">
        <v>306</v>
      </c>
      <c r="P39" s="27" t="s">
        <v>307</v>
      </c>
      <c r="Q39" s="15"/>
    </row>
    <row r="40" customFormat="false" ht="23.85" hidden="false" customHeight="false" outlineLevel="0" collapsed="false">
      <c r="A40" s="15" t="s">
        <v>310</v>
      </c>
      <c r="B40" s="15" t="s">
        <v>23</v>
      </c>
      <c r="C40" s="15" t="s">
        <v>18</v>
      </c>
      <c r="D40" s="15" t="s">
        <v>10</v>
      </c>
      <c r="E40" s="15"/>
      <c r="F40" s="26" t="n">
        <v>44510</v>
      </c>
      <c r="G40" s="15" t="s">
        <v>303</v>
      </c>
      <c r="H40" s="15" t="s">
        <v>304</v>
      </c>
      <c r="I40" s="15" t="s">
        <v>109</v>
      </c>
      <c r="J40" s="15" t="s">
        <v>311</v>
      </c>
      <c r="K40" s="15" t="s">
        <v>109</v>
      </c>
      <c r="L40" s="15" t="s">
        <v>175</v>
      </c>
      <c r="M40" s="15"/>
      <c r="N40" s="15" t="s">
        <v>150</v>
      </c>
      <c r="O40" s="15" t="s">
        <v>306</v>
      </c>
      <c r="P40" s="27" t="s">
        <v>307</v>
      </c>
      <c r="Q40" s="15"/>
    </row>
    <row r="41" customFormat="false" ht="23.85" hidden="false" customHeight="false" outlineLevel="0" collapsed="false">
      <c r="A41" s="15" t="s">
        <v>312</v>
      </c>
      <c r="B41" s="15" t="s">
        <v>23</v>
      </c>
      <c r="C41" s="15" t="s">
        <v>18</v>
      </c>
      <c r="D41" s="15" t="s">
        <v>10</v>
      </c>
      <c r="E41" s="15"/>
      <c r="F41" s="26" t="n">
        <v>44512</v>
      </c>
      <c r="G41" s="15" t="s">
        <v>303</v>
      </c>
      <c r="H41" s="15" t="s">
        <v>304</v>
      </c>
      <c r="I41" s="15" t="s">
        <v>109</v>
      </c>
      <c r="J41" s="15" t="s">
        <v>305</v>
      </c>
      <c r="K41" s="15" t="s">
        <v>109</v>
      </c>
      <c r="L41" s="15" t="s">
        <v>175</v>
      </c>
      <c r="M41" s="15"/>
      <c r="N41" s="15" t="s">
        <v>150</v>
      </c>
      <c r="O41" s="15" t="s">
        <v>306</v>
      </c>
      <c r="P41" s="27" t="s">
        <v>307</v>
      </c>
      <c r="Q41" s="15"/>
    </row>
    <row r="42" customFormat="false" ht="23.85" hidden="false" customHeight="false" outlineLevel="0" collapsed="false">
      <c r="A42" s="15" t="s">
        <v>313</v>
      </c>
      <c r="B42" s="15" t="s">
        <v>23</v>
      </c>
      <c r="C42" s="15" t="s">
        <v>19</v>
      </c>
      <c r="D42" s="15" t="s">
        <v>10</v>
      </c>
      <c r="E42" s="15"/>
      <c r="F42" s="26" t="n">
        <v>44554</v>
      </c>
      <c r="G42" s="15" t="s">
        <v>303</v>
      </c>
      <c r="H42" s="15" t="s">
        <v>304</v>
      </c>
      <c r="I42" s="15" t="s">
        <v>109</v>
      </c>
      <c r="J42" s="15" t="s">
        <v>309</v>
      </c>
      <c r="K42" s="15" t="s">
        <v>109</v>
      </c>
      <c r="L42" s="15" t="s">
        <v>175</v>
      </c>
      <c r="M42" s="15"/>
      <c r="N42" s="15" t="s">
        <v>150</v>
      </c>
      <c r="O42" s="15" t="s">
        <v>306</v>
      </c>
      <c r="P42" s="27" t="s">
        <v>307</v>
      </c>
      <c r="Q42" s="15"/>
    </row>
    <row r="43" customFormat="false" ht="23.85" hidden="false" customHeight="false" outlineLevel="0" collapsed="false">
      <c r="A43" s="15" t="s">
        <v>314</v>
      </c>
      <c r="B43" s="15" t="s">
        <v>23</v>
      </c>
      <c r="C43" s="15" t="s">
        <v>259</v>
      </c>
      <c r="D43" s="15" t="s">
        <v>11</v>
      </c>
      <c r="E43" s="15"/>
      <c r="F43" s="26" t="n">
        <v>44707</v>
      </c>
      <c r="G43" s="15" t="s">
        <v>303</v>
      </c>
      <c r="H43" s="15" t="s">
        <v>304</v>
      </c>
      <c r="I43" s="15" t="s">
        <v>109</v>
      </c>
      <c r="J43" s="15" t="s">
        <v>315</v>
      </c>
      <c r="K43" s="15" t="s">
        <v>109</v>
      </c>
      <c r="L43" s="15" t="s">
        <v>175</v>
      </c>
      <c r="M43" s="15"/>
      <c r="N43" s="15" t="s">
        <v>150</v>
      </c>
      <c r="O43" s="15" t="s">
        <v>306</v>
      </c>
      <c r="P43" s="27" t="s">
        <v>307</v>
      </c>
      <c r="Q43" s="15"/>
    </row>
    <row r="44" customFormat="false" ht="23.85" hidden="false" customHeight="false" outlineLevel="0" collapsed="false">
      <c r="A44" s="15" t="s">
        <v>316</v>
      </c>
      <c r="B44" s="15" t="s">
        <v>23</v>
      </c>
      <c r="C44" s="15" t="s">
        <v>19</v>
      </c>
      <c r="D44" s="15" t="s">
        <v>11</v>
      </c>
      <c r="E44" s="15"/>
      <c r="F44" s="26" t="n">
        <v>44917</v>
      </c>
      <c r="G44" s="15" t="s">
        <v>303</v>
      </c>
      <c r="H44" s="15" t="s">
        <v>304</v>
      </c>
      <c r="I44" s="15" t="s">
        <v>109</v>
      </c>
      <c r="J44" s="15" t="s">
        <v>317</v>
      </c>
      <c r="K44" s="15" t="s">
        <v>109</v>
      </c>
      <c r="L44" s="15" t="s">
        <v>175</v>
      </c>
      <c r="M44" s="15"/>
      <c r="N44" s="15" t="s">
        <v>150</v>
      </c>
      <c r="O44" s="15" t="s">
        <v>306</v>
      </c>
      <c r="P44" s="27" t="s">
        <v>307</v>
      </c>
      <c r="Q44" s="15"/>
    </row>
    <row r="45" customFormat="false" ht="23.85" hidden="false" customHeight="false" outlineLevel="0" collapsed="false">
      <c r="A45" s="15" t="s">
        <v>318</v>
      </c>
      <c r="B45" s="15" t="s">
        <v>23</v>
      </c>
      <c r="C45" s="15" t="s">
        <v>19</v>
      </c>
      <c r="D45" s="15" t="s">
        <v>11</v>
      </c>
      <c r="E45" s="15"/>
      <c r="F45" s="26" t="n">
        <v>44937</v>
      </c>
      <c r="G45" s="15" t="s">
        <v>303</v>
      </c>
      <c r="H45" s="15" t="s">
        <v>304</v>
      </c>
      <c r="I45" s="15" t="s">
        <v>109</v>
      </c>
      <c r="J45" s="15" t="s">
        <v>319</v>
      </c>
      <c r="K45" s="15" t="s">
        <v>109</v>
      </c>
      <c r="L45" s="15" t="s">
        <v>175</v>
      </c>
      <c r="M45" s="15"/>
      <c r="N45" s="15" t="s">
        <v>150</v>
      </c>
      <c r="O45" s="15" t="s">
        <v>306</v>
      </c>
      <c r="P45" s="27" t="s">
        <v>307</v>
      </c>
      <c r="Q45" s="15"/>
    </row>
    <row r="46" customFormat="false" ht="23.85" hidden="false" customHeight="false" outlineLevel="0" collapsed="false">
      <c r="A46" s="15" t="s">
        <v>320</v>
      </c>
      <c r="B46" s="15" t="s">
        <v>23</v>
      </c>
      <c r="C46" s="15" t="s">
        <v>19</v>
      </c>
      <c r="D46" s="15" t="s">
        <v>12</v>
      </c>
      <c r="E46" s="15"/>
      <c r="F46" s="26" t="n">
        <v>45099</v>
      </c>
      <c r="G46" s="15" t="s">
        <v>303</v>
      </c>
      <c r="H46" s="15" t="s">
        <v>304</v>
      </c>
      <c r="I46" s="15" t="s">
        <v>109</v>
      </c>
      <c r="J46" s="15" t="s">
        <v>321</v>
      </c>
      <c r="K46" s="15" t="s">
        <v>109</v>
      </c>
      <c r="L46" s="15" t="s">
        <v>175</v>
      </c>
      <c r="M46" s="15"/>
      <c r="N46" s="15" t="s">
        <v>150</v>
      </c>
      <c r="O46" s="15" t="s">
        <v>306</v>
      </c>
      <c r="P46" s="27" t="s">
        <v>307</v>
      </c>
      <c r="Q46" s="15"/>
    </row>
    <row r="47" customFormat="false" ht="23.85" hidden="false" customHeight="false" outlineLevel="0" collapsed="false">
      <c r="A47" s="15" t="s">
        <v>322</v>
      </c>
      <c r="B47" s="15" t="s">
        <v>23</v>
      </c>
      <c r="C47" s="15" t="s">
        <v>19</v>
      </c>
      <c r="D47" s="15" t="s">
        <v>12</v>
      </c>
      <c r="E47" s="15"/>
      <c r="F47" s="26" t="n">
        <v>45355</v>
      </c>
      <c r="G47" s="15" t="s">
        <v>303</v>
      </c>
      <c r="H47" s="15" t="s">
        <v>304</v>
      </c>
      <c r="I47" s="15" t="s">
        <v>109</v>
      </c>
      <c r="J47" s="15" t="s">
        <v>323</v>
      </c>
      <c r="K47" s="15" t="s">
        <v>109</v>
      </c>
      <c r="L47" s="15" t="s">
        <v>175</v>
      </c>
      <c r="M47" s="15"/>
      <c r="N47" s="15" t="s">
        <v>150</v>
      </c>
      <c r="O47" s="15" t="s">
        <v>306</v>
      </c>
      <c r="P47" s="27" t="s">
        <v>307</v>
      </c>
      <c r="Q47" s="15"/>
    </row>
    <row r="48" customFormat="false" ht="23.85" hidden="false" customHeight="false" outlineLevel="0" collapsed="false">
      <c r="A48" s="15" t="s">
        <v>324</v>
      </c>
      <c r="B48" s="15" t="s">
        <v>23</v>
      </c>
      <c r="C48" s="15" t="s">
        <v>18</v>
      </c>
      <c r="D48" s="15" t="s">
        <v>13</v>
      </c>
      <c r="E48" s="15"/>
      <c r="F48" s="26" t="n">
        <v>45490</v>
      </c>
      <c r="G48" s="15" t="s">
        <v>303</v>
      </c>
      <c r="H48" s="15" t="s">
        <v>304</v>
      </c>
      <c r="I48" s="15" t="s">
        <v>109</v>
      </c>
      <c r="J48" s="15" t="s">
        <v>325</v>
      </c>
      <c r="K48" s="15" t="s">
        <v>109</v>
      </c>
      <c r="L48" s="15" t="s">
        <v>175</v>
      </c>
      <c r="M48" s="15"/>
      <c r="N48" s="15" t="s">
        <v>150</v>
      </c>
      <c r="O48" s="15" t="s">
        <v>306</v>
      </c>
      <c r="P48" s="27" t="s">
        <v>307</v>
      </c>
      <c r="Q48" s="15"/>
    </row>
    <row r="49" customFormat="false" ht="23.85" hidden="false" customHeight="false" outlineLevel="0" collapsed="false">
      <c r="A49" s="15" t="s">
        <v>326</v>
      </c>
      <c r="B49" s="15" t="s">
        <v>327</v>
      </c>
      <c r="C49" s="15" t="s">
        <v>18</v>
      </c>
      <c r="D49" s="15" t="s">
        <v>10</v>
      </c>
      <c r="E49" s="26" t="n">
        <v>44494</v>
      </c>
      <c r="F49" s="26" t="n">
        <v>44495</v>
      </c>
      <c r="G49" s="15" t="s">
        <v>328</v>
      </c>
      <c r="H49" s="15" t="s">
        <v>329</v>
      </c>
      <c r="I49" s="15" t="s">
        <v>109</v>
      </c>
      <c r="J49" s="15" t="s">
        <v>330</v>
      </c>
      <c r="K49" s="15" t="s">
        <v>109</v>
      </c>
      <c r="L49" s="15" t="s">
        <v>175</v>
      </c>
      <c r="M49" s="15" t="s">
        <v>331</v>
      </c>
      <c r="N49" s="15" t="s">
        <v>111</v>
      </c>
      <c r="O49" s="15" t="s">
        <v>332</v>
      </c>
      <c r="P49" s="27" t="s">
        <v>333</v>
      </c>
      <c r="Q49" s="15"/>
    </row>
  </sheetData>
  <autoFilter ref="A4:Q49"/>
  <hyperlinks>
    <hyperlink ref="P5" r:id="rId1" display="https://projects.propublica.org/rx-inspector/facilities/3009298759/"/>
    <hyperlink ref="Q5" r:id="rId2" display="https://www.pharmacompass.com/fda-inspection/symbiotec-pharmalab"/>
    <hyperlink ref="P6" r:id="rId3" display="https://static.propublica.org/fda-inspection-documents/483s/2024-3040%2F483s%2F2018-10239encl2.pdf"/>
    <hyperlink ref="Q6" r:id="rId4" display="https://projects.propublica.org/rx-inspector/facilities/3009298759/"/>
    <hyperlink ref="P7" r:id="rId5" display="https://projects.propublica.org/rx-inspector/facilities/3005122933/"/>
    <hyperlink ref="Q7" r:id="rId6" display="https://www.pharmacompass.com/fda-inspection/symbiotec-pharmalab"/>
    <hyperlink ref="P8" r:id="rId7" display="https://static.propublica.org/fda-inspection-documents/483s/2024-3040%2F483s%2F19008449_enc7_320.pdf"/>
    <hyperlink ref="Q8" r:id="rId8" display="https://www.suppliervigil.com/suppliers/symbiotec-pharmalab-limited"/>
    <hyperlink ref="P9" r:id="rId9" display="https://www.keypedia.com/records/fda_inspections/symbiotec-pharmalab-private-limited/b0ba173d-b65b-43a0-8818-8865313a6c3b"/>
    <hyperlink ref="Q9" r:id="rId10" display="https://projects.propublica.org/rx-inspector/facilities/3005122933/"/>
    <hyperlink ref="P10" r:id="rId11" display="https://www.keypedia.com/records/fda_inspections/symbiotec-pharmalab-private-limited/87bf2ce3-bf0d-4a25-bbbc-41c49e4acebc"/>
    <hyperlink ref="Q10" r:id="rId12" display="https://www.pharmacompass.com/fda-inspection/symbiotec-pharmalab"/>
    <hyperlink ref="P11" r:id="rId13" display="https://static.propublica.org/fda-inspection-documents/483s/2024-10376%2F483s%2F2024-9235%2F2022-8697encl20.pdf"/>
    <hyperlink ref="Q11" r:id="rId14" display="https://projects.propublica.org/rx-inspector/facilities/3009298759/"/>
    <hyperlink ref="P12" r:id="rId15" display="https://nsearchives.nseindia.com/corporate/Registration_19122025164857_DRHP_fillingversion.pdf"/>
    <hyperlink ref="Q12" r:id="rId16" display="https://redica.com/document-store/sites/siteprofile/100013374/symbiotec-pharmalab-private-limited-pithampur-m-india"/>
    <hyperlink ref="P13" r:id="rId17" display="https://nsearchives.nseindia.com/corporate/SYMBIOTEC_21092026195951_SymbiotecInvestorReleaseQ1FY2027.pdf"/>
    <hyperlink ref="Q13" r:id="rId18" display="https://www.keypedia.com/records/fda_inspections/symbiotec-pharmalab-private-limited/6a9a8083-0914-4550-91a6-a546311d6e24"/>
    <hyperlink ref="P14" r:id="rId19" display="https://nsearchives.nseindia.com/corporate/SYMBIOTEC_29092026105720_SymbiotecUSFDAApprovalSEZ.pdf"/>
    <hyperlink ref="Q14" r:id="rId20" display="https://www.sebi.gov.in/sebi_data/attachdocs/aug-2026/1787119258529.pdf"/>
    <hyperlink ref="P15" r:id="rId21" display="https://redica.com/document-store/sites/siteprofile/100194580/symbiotec-pharmalab-private-limited-rau-india"/>
    <hyperlink ref="Q15" r:id="rId22" display="https://nsearchives.nseindia.com/corporate/Registration_19122025164857_DRHP_fillingversion.pdf"/>
    <hyperlink ref="P16" r:id="rId23" display="https://www.symbiotec.in/about-us/milestone/"/>
    <hyperlink ref="P17" r:id="rId24" display="https://www.symbiotec.in/about-us/milestone/"/>
    <hyperlink ref="P18" r:id="rId25" display="https://www.symbiotec.in/about-us/milestone/"/>
    <hyperlink ref="P19" r:id="rId26" display="https://www.symbiotec.in/about-us/milestone/"/>
    <hyperlink ref="P20" r:id="rId27" display="https://www.aifa.gov.it/-/statement-non-compliance-gmp-officina-farmaceutica-symbiotec-pharmalab-ltd-india"/>
    <hyperlink ref="P21" r:id="rId28" display="https://www.johnsnowlabs.com/marketplace/ema-good-manufacturing-practice-certificates-of-non-eea-countries/"/>
    <hyperlink ref="P22" r:id="rId29" display="https://www.pharmacompass.com/edqm-gmp/symbiotec-pharmalab"/>
    <hyperlink ref="P23" r:id="rId30" display="https://www.pharmacompass.com/edqm-gmp/symbiotec-pharmalab"/>
    <hyperlink ref="P24" r:id="rId31" display="https://www.pharmajungle.com/eudra-gmp"/>
    <hyperlink ref="Q24" r:id="rId32" display="https://nsearchives.nseindia.com/corporate/SYMBIOTEC_21092026195951_SymbiotecInvestorReleaseQ1FY2027.pdf"/>
    <hyperlink ref="P25" r:id="rId33" display="https://www.pharmajungle.com/eudra-gmp"/>
    <hyperlink ref="Q25" r:id="rId34" display="https://nsearchives.nseindia.com/corporate/SYMBIOTEC_21092026195951_SymbiotecInvestorReleaseQ1FY2027.pdf"/>
    <hyperlink ref="P26" r:id="rId35" display="https://www.in.gov.br/en/web/dou/-/resolucao-re-n-2.493-de-7-de-julho-de-2023-495194889"/>
    <hyperlink ref="P27" r:id="rId36" display="https://www.in.gov.br/en/web/dou/-/resolucao-re-n-1.915-de-16-de-maio-de-2024-560728209"/>
    <hyperlink ref="P28" r:id="rId37" display="https://www.in.gov.br/en/web/dou/-/resolucao-re-n-2.573-de-10-de-julho-de-2025-641600254"/>
    <hyperlink ref="P29" r:id="rId38" display="https://www.in.gov.br/en/web/dou/-/resolucao-re-n-3.099-de-14-de-agosto-de-2025-648884164"/>
    <hyperlink ref="P30" r:id="rId39" display="https://www.in.gov.br/en/web/dou/-/resolucao-re-n-2.008-de-14-de-maio-de-2026-706287958"/>
    <hyperlink ref="P31" r:id="rId40" display="https://nsearchives.nseindia.com/corporate/Registration_19122025164857_DRHP_fillingversion.pdf"/>
    <hyperlink ref="Q31" r:id="rId41" display="https://www.sebi.gov.in/sebi_data/attachdocs/aug-2026/1787119258529.pdf"/>
    <hyperlink ref="P32" r:id="rId42" display="https://www.pmda.go.jp/files/000283243.pdf"/>
    <hyperlink ref="Q32" r:id="rId43" display="https://www.pmda.go.jp/files/000161368.pdf"/>
    <hyperlink ref="P33" r:id="rId44" display="https://www.pmda.go.jp/files/000283243.pdf"/>
    <hyperlink ref="P34" r:id="rId45" display="https://www.pmda.go.jp/files/000240885.pdf"/>
    <hyperlink ref="P35" r:id="rId46" display="https://www.pmda.go.jp/files/000240885.pdf"/>
    <hyperlink ref="P36" r:id="rId47" display="https://nsearchives.nseindia.com/corporate/Registration_19122025164857_DRHP_fillingversion.pdf"/>
    <hyperlink ref="Q36" r:id="rId48" display="https://www.sebi.gov.in/sebi_data/attachdocs/aug-2026/1787119258529.pdf"/>
    <hyperlink ref="P37" r:id="rId49" display="https://www.sebi.gov.in/sebi_data/attachdocs/aug-2026/1787119258529.pdf"/>
    <hyperlink ref="Q37" r:id="rId50" display="https://nsearchives.nseindia.com/corporate/SYMBIOTEC_21092026195544_SymbiotecInvestorPresentationQ1FY2027.pdf"/>
    <hyperlink ref="P38" r:id="rId51" display="https://www.pharmacompass.com/korea-drug-master-files-dmfs/symbiotec-pharmalab"/>
    <hyperlink ref="P39" r:id="rId52" display="https://www.pharmacompass.com/korea-drug-master-files-dmfs/symbiotec-pharmalab"/>
    <hyperlink ref="P40" r:id="rId53" display="https://www.pharmacompass.com/korea-drug-master-files-dmfs/symbiotec-pharmalab"/>
    <hyperlink ref="P41" r:id="rId54" display="https://www.pharmacompass.com/korea-drug-master-files-dmfs/symbiotec-pharmalab"/>
    <hyperlink ref="P42" r:id="rId55" display="https://www.pharmacompass.com/korea-drug-master-files-dmfs/symbiotec-pharmalab"/>
    <hyperlink ref="P43" r:id="rId56" display="https://www.pharmacompass.com/korea-drug-master-files-dmfs/symbiotec-pharmalab"/>
    <hyperlink ref="P44" r:id="rId57" display="https://www.pharmacompass.com/korea-drug-master-files-dmfs/symbiotec-pharmalab"/>
    <hyperlink ref="P45" r:id="rId58" display="https://www.pharmacompass.com/korea-drug-master-files-dmfs/symbiotec-pharmalab"/>
    <hyperlink ref="P46" r:id="rId59" display="https://www.pharmacompass.com/korea-drug-master-files-dmfs/symbiotec-pharmalab"/>
    <hyperlink ref="P47" r:id="rId60" display="https://www.pharmacompass.com/korea-drug-master-files-dmfs/symbiotec-pharmalab"/>
    <hyperlink ref="P48" r:id="rId61" display="https://www.pharmacompass.com/korea-drug-master-files-dmfs/symbiotec-pharmalab"/>
    <hyperlink ref="P49" r:id="rId62" display="https://cdsco.gov.in/opencms/resources/UploadCDSCOWeb/2018/UploadInternationalCell/WC%20-0161%20-Symbiotec%20(2)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35" hidden="false" customHeight="false" outlineLevel="0" collapsed="false">
      <c r="A1" s="1" t="s">
        <v>334</v>
      </c>
    </row>
    <row r="3" customFormat="false" ht="15" hidden="false" customHeight="false" outlineLevel="0" collapsed="false">
      <c r="A3" s="14" t="s">
        <v>335</v>
      </c>
    </row>
    <row r="4" customFormat="false" ht="15" hidden="false" customHeight="false" outlineLevel="0" collapsed="false">
      <c r="A4" s="31" t="s">
        <v>336</v>
      </c>
    </row>
    <row r="5" customFormat="false" ht="15" hidden="false" customHeight="false" outlineLevel="0" collapsed="false">
      <c r="A5" s="31" t="s">
        <v>337</v>
      </c>
    </row>
    <row r="6" customFormat="false" ht="15" hidden="false" customHeight="false" outlineLevel="0" collapsed="false">
      <c r="A6" s="31" t="s">
        <v>338</v>
      </c>
    </row>
    <row r="8" customFormat="false" ht="15" hidden="false" customHeight="false" outlineLevel="0" collapsed="false">
      <c r="A8" s="14" t="s">
        <v>339</v>
      </c>
    </row>
    <row r="9" customFormat="false" ht="15" hidden="false" customHeight="false" outlineLevel="0" collapsed="false">
      <c r="A9" s="31" t="s">
        <v>340</v>
      </c>
    </row>
    <row r="10" customFormat="false" ht="15" hidden="false" customHeight="false" outlineLevel="0" collapsed="false">
      <c r="A10" s="31" t="s">
        <v>341</v>
      </c>
    </row>
    <row r="11" customFormat="false" ht="15" hidden="false" customHeight="false" outlineLevel="0" collapsed="false">
      <c r="A11" s="31" t="s">
        <v>342</v>
      </c>
    </row>
    <row r="12" customFormat="false" ht="15" hidden="false" customHeight="false" outlineLevel="0" collapsed="false">
      <c r="A12" s="31" t="s">
        <v>343</v>
      </c>
    </row>
    <row r="13" customFormat="false" ht="22.35" hidden="false" customHeight="false" outlineLevel="0" collapsed="false">
      <c r="A13" s="31" t="s">
        <v>344</v>
      </c>
    </row>
    <row r="14" customFormat="false" ht="15" hidden="false" customHeight="false" outlineLevel="0" collapsed="false">
      <c r="A14" s="31" t="s">
        <v>345</v>
      </c>
    </row>
    <row r="15" customFormat="false" ht="22.35" hidden="false" customHeight="false" outlineLevel="0" collapsed="false">
      <c r="A15" s="31" t="s">
        <v>346</v>
      </c>
    </row>
    <row r="16" customFormat="false" ht="15" hidden="false" customHeight="false" outlineLevel="0" collapsed="false">
      <c r="A16" s="31" t="s">
        <v>347</v>
      </c>
    </row>
    <row r="18" customFormat="false" ht="15" hidden="false" customHeight="false" outlineLevel="0" collapsed="false">
      <c r="A18" s="14" t="s">
        <v>348</v>
      </c>
    </row>
    <row r="19" customFormat="false" ht="15" hidden="false" customHeight="false" outlineLevel="0" collapsed="false">
      <c r="A19" s="31" t="s">
        <v>349</v>
      </c>
    </row>
    <row r="20" customFormat="false" ht="15" hidden="false" customHeight="false" outlineLevel="0" collapsed="false">
      <c r="A20" s="31" t="s">
        <v>350</v>
      </c>
    </row>
    <row r="21" customFormat="false" ht="15" hidden="false" customHeight="false" outlineLevel="0" collapsed="false">
      <c r="A21" s="31" t="s">
        <v>351</v>
      </c>
    </row>
    <row r="22" customFormat="false" ht="15" hidden="false" customHeight="false" outlineLevel="0" collapsed="false">
      <c r="A22" s="31" t="s">
        <v>352</v>
      </c>
    </row>
    <row r="23" customFormat="false" ht="15" hidden="false" customHeight="false" outlineLevel="0" collapsed="false">
      <c r="A23" s="31" t="s">
        <v>353</v>
      </c>
    </row>
    <row r="25" customFormat="false" ht="15" hidden="false" customHeight="false" outlineLevel="0" collapsed="false">
      <c r="A25" s="14" t="s">
        <v>354</v>
      </c>
    </row>
    <row r="26" customFormat="false" ht="15" hidden="false" customHeight="false" outlineLevel="0" collapsed="false">
      <c r="A26" s="31" t="s">
        <v>355</v>
      </c>
    </row>
    <row r="27" customFormat="false" ht="15" hidden="false" customHeight="false" outlineLevel="0" collapsed="false">
      <c r="A27" s="31" t="s">
        <v>356</v>
      </c>
    </row>
    <row r="28" customFormat="false" ht="15" hidden="false" customHeight="false" outlineLevel="0" collapsed="false">
      <c r="A28" s="31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2026-10-30T07:41:22Z</dcterms:created>
  <dc:creator>openpyxl</dc:creator>
  <dc:description/>
  <dc:language>en-US</dc:language>
  <cp:lastModifiedBy/>
  <dcterms:modified xsi:type="dcterms:W3CDTF">2026-10-30T07:41:24Z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