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Feed index" sheetId="3" state="visible" r:id="rId5"/>
    <sheet name="Model" sheetId="4" state="visible" r:id="rId6"/>
    <sheet name="Sensitivity" sheetId="5" state="visible" r:id="rId7"/>
    <sheet name="Base-year evidence" sheetId="6" state="visible" r:id="rId8"/>
    <sheet name="Cross-checks" sheetId="7" state="visible" r:id="rId9"/>
    <sheet name="Trade data" sheetId="8" state="visible" r:id="rId10"/>
  </sheets>
  <definedNames>
    <definedName function="false" hidden="false" name="Base2020" vbProcedure="false">Inputs!$C$4</definedName>
    <definedName function="false" hidden="false" name="Base2020_H" vbProcedure="false">Inputs!$E$4</definedName>
    <definedName function="false" hidden="false" name="Base2020_L" vbProcedure="false">Inputs!$D$4</definedName>
    <definedName function="false" hidden="false" name="Base2022User" vbProcedure="false">Inputs!$C$25</definedName>
    <definedName function="false" hidden="false" name="Feed2020Mt" vbProcedure="false">'Feed index'!$B$5</definedName>
    <definedName function="false" hidden="false" name="FeedG2026" vbProcedure="false">Inputs!$C$7</definedName>
    <definedName function="false" hidden="false" name="FeedG2026_H" vbProcedure="false">Inputs!$E$7</definedName>
    <definedName function="false" hidden="false" name="FeedG2026_L" vbProcedure="false">Inputs!$D$7</definedName>
    <definedName function="false" hidden="false" name="FeedIdx2022" vbProcedure="false">'Feed index'!$D$7</definedName>
    <definedName function="false" hidden="false" name="FeedIdx2023" vbProcedure="false">'Feed index'!$D$8</definedName>
    <definedName function="false" hidden="false" name="FeedIdx2025" vbProcedure="false">'Feed index'!$D$10</definedName>
    <definedName function="false" hidden="false" name="FeedP2020" vbProcedure="false">Inputs!$C$11</definedName>
    <definedName function="false" hidden="false" name="FeedP2020_H" vbProcedure="false">Inputs!$E$11</definedName>
    <definedName function="false" hidden="false" name="FeedP2020_L" vbProcedure="false">Inputs!$D$11</definedName>
    <definedName function="false" hidden="false" name="FeedP2022" vbProcedure="false">Inputs!$C$12</definedName>
    <definedName function="false" hidden="false" name="FeedP2022_H" vbProcedure="false">Inputs!$E$12</definedName>
    <definedName function="false" hidden="false" name="FeedP2022_L" vbProcedure="false">Inputs!$D$12</definedName>
    <definedName function="false" hidden="false" name="FeedP2025" vbProcedure="false">Inputs!$C$13</definedName>
    <definedName function="false" hidden="false" name="FeedP2025_H" vbProcedure="false">Inputs!$E$13</definedName>
    <definedName function="false" hidden="false" name="FeedP2025_L" vbProcedure="false">Inputs!$D$13</definedName>
    <definedName function="false" hidden="false" name="FeedP2026" vbProcedure="false">Inputs!$C$14</definedName>
    <definedName function="false" hidden="false" name="FeedP2026_H" vbProcedure="false">Inputs!$E$14</definedName>
    <definedName function="false" hidden="false" name="FeedP2026_L" vbProcedure="false">Inputs!$D$14</definedName>
    <definedName function="false" hidden="false" name="FX_INR" vbProcedure="false">Inputs!$C$28</definedName>
    <definedName function="false" hidden="false" name="FX_RMB" vbProcedure="false">Inputs!$C$26</definedName>
    <definedName function="false" hidden="false" name="FX_RMB22" vbProcedure="false">Inputs!$C$27</definedName>
    <definedName function="false" hidden="false" name="HumanShare" vbProcedure="false">Inputs!$C$6</definedName>
    <definedName function="false" hidden="false" name="HumanShare_H" vbProcedure="false">Inputs!$E$6</definedName>
    <definedName function="false" hidden="false" name="HumanShare_L" vbProcedure="false">Inputs!$D$6</definedName>
    <definedName function="false" hidden="false" name="HumIdx2022" vbProcedure="false">Inputs!$C$8</definedName>
    <definedName function="false" hidden="false" name="HumIdx2022_H" vbProcedure="false">Inputs!$E$8</definedName>
    <definedName function="false" hidden="false" name="HumIdx2022_L" vbProcedure="false">Inputs!$D$8</definedName>
    <definedName function="false" hidden="false" name="HumIdx2023" vbProcedure="false">Inputs!$C$19</definedName>
    <definedName function="false" hidden="false" name="HumIdx2023_H" vbProcedure="false">Inputs!$E$19</definedName>
    <definedName function="false" hidden="false" name="HumIdx2023_L" vbProcedure="false">Inputs!$D$19</definedName>
    <definedName function="false" hidden="false" name="HumIdx2025" vbProcedure="false">Inputs!$C$9</definedName>
    <definedName function="false" hidden="false" name="HumIdx2025_H" vbProcedure="false">Inputs!$E$9</definedName>
    <definedName function="false" hidden="false" name="HumIdx2025_L" vbProcedure="false">Inputs!$D$9</definedName>
    <definedName function="false" hidden="false" name="HumIdx2026" vbProcedure="false">Inputs!$C$10</definedName>
    <definedName function="false" hidden="false" name="HumIdx2026_H" vbProcedure="false">Inputs!$E$10</definedName>
    <definedName function="false" hidden="false" name="HumIdx2026_L" vbProcedure="false">Inputs!$D$10</definedName>
    <definedName function="false" hidden="false" name="HumP2020" vbProcedure="false">Inputs!$C$15</definedName>
    <definedName function="false" hidden="false" name="HumP2020_H" vbProcedure="false">Inputs!$E$15</definedName>
    <definedName function="false" hidden="false" name="HumP2020_L" vbProcedure="false">Inputs!$D$15</definedName>
    <definedName function="false" hidden="false" name="HumP2022" vbProcedure="false">Inputs!$C$16</definedName>
    <definedName function="false" hidden="false" name="HumP2022_H" vbProcedure="false">Inputs!$E$16</definedName>
    <definedName function="false" hidden="false" name="HumP2022_L" vbProcedure="false">Inputs!$D$16</definedName>
    <definedName function="false" hidden="false" name="HumP2025" vbProcedure="false">Inputs!$C$17</definedName>
    <definedName function="false" hidden="false" name="HumP2025_H" vbProcedure="false">Inputs!$E$17</definedName>
    <definedName function="false" hidden="false" name="HumP2025_L" vbProcedure="false">Inputs!$D$17</definedName>
    <definedName function="false" hidden="false" name="HumP2026" vbProcedure="false">Inputs!$C$18</definedName>
    <definedName function="false" hidden="false" name="HumP2026_H" vbProcedure="false">Inputs!$E$18</definedName>
    <definedName function="false" hidden="false" name="HumP2026_L" vbProcedure="false">Inputs!$D$18</definedName>
    <definedName function="false" hidden="false" name="IF_BasisA" vbProcedure="false">Inputs!$C$23</definedName>
    <definedName function="false" hidden="false" name="IF_BasisB" vbProcedure="false">Inputs!$C$24</definedName>
    <definedName function="false" hidden="false" name="IF_Cap" vbProcedure="false">Inputs!$C$22</definedName>
    <definedName function="false" hidden="false" name="IF_Demand" vbProcedure="false">Inputs!$C$21</definedName>
    <definedName function="false" hidden="false" name="IF_Supply" vbProcedure="false">Inputs!$C$20</definedName>
    <definedName function="false" hidden="false" name="Potency" vbProcedure="false">Inputs!$C$5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<sst xmlns="http://schemas.openxmlformats.org/spreadsheetml/2006/main" count="649" uniqueCount="476">
  <si>
    <t xml:space="preserve">Vitamin D3 global market size: extrapolation model (2020/2022 base to 2026E)</t>
  </si>
  <si>
    <t xml:space="preserve">Prepared</t>
  </si>
  <si>
    <t xml:space="preserve">21 October 2026, for Symbiotec Pharmalab coverage. Ingredient (producer) level, not finished-product retail value.</t>
  </si>
  <si>
    <t xml:space="preserve">Method</t>
  </si>
  <si>
    <t xml:space="preserve">Volume(grade, year) = 2020 base x grade share x volume index; Value = volume x price on the same potency basis. Feed and human/pharma grades are kept separate because their prices differ.</t>
  </si>
  <si>
    <t xml:space="preserve">Base year</t>
  </si>
  <si>
    <t xml:space="preserve">2020 actual global output of 6,250 t (500,000 IU/g basis), Boyar data relayed in Zhejiang Garden Biochemical's CSRC-registered convertible bond prospectus. No English-language public document states actual 2020 or 2022 global output; English corroboration is on the 'Base-year evidence' sheet. 2022 is derived; enter your own 2022 base in Inputs to test it.</t>
  </si>
  <si>
    <t xml:space="preserve">Units</t>
  </si>
  <si>
    <t xml:space="preserve">Tonnes are 500,000 IU/g feed-powder equivalent ('D3-500') unless labelled 'pure'. 80 t D3-500 = 1 t pure cholecalciferol (40 MIU/g). Values in USD m.</t>
  </si>
  <si>
    <t xml:space="preserve">How to use</t>
  </si>
  <si>
    <t xml:space="preserve">Edit only the blue cells on 'Inputs' (yellow = key assumptions). Everything else is formula-driven. Low/High columns drive the value range rows.</t>
  </si>
  <si>
    <t xml:space="preserve">Colour code</t>
  </si>
  <si>
    <t xml:space="preserve">Blue text = hard-coded input; black = formula; green = link from another sheet; yellow fill = key assumption.</t>
  </si>
  <si>
    <t xml:space="preserve">Sources</t>
  </si>
  <si>
    <t xml:space="preserve">Every input row on 'Inputs', 'Feed index', 'Trade data' and 'Base-year evidence' carries its source, date, page and URL, plus a source-type tag. 'Analyst assumption' marks judgement.</t>
  </si>
  <si>
    <t xml:space="preserve">Main caveats</t>
  </si>
  <si>
    <t xml:space="preserve">(1) The 2020 base is a Chinese consultancy figure relayed in a prospectus. (2) The feed/human split is an assumption (evidence range 11-30% human). (3) Annual average prices are reconstructed from sparse dated points. (4) FX rates are assumptions. (5) Alltech feed levels are not comparable year to year, so the chain-linked stated growth rates are used.</t>
  </si>
  <si>
    <t xml:space="preserve">Key outputs (live)</t>
  </si>
  <si>
    <t xml:space="preserve">2026E volume, t D3-500</t>
  </si>
  <si>
    <t xml:space="preserve">2026E volume, t pure D3</t>
  </si>
  <si>
    <t xml:space="preserve">2026E value, USD m (API-equivalent)</t>
  </si>
  <si>
    <t xml:space="preserve">2026E value range, USD m</t>
  </si>
  <si>
    <t xml:space="preserve">2026E feed share of value</t>
  </si>
  <si>
    <t xml:space="preserve">2025 value, USD m (for comparison)</t>
  </si>
  <si>
    <t xml:space="preserve">2026E value from IFEEDER 2023 base, USD m (500K / 1 MIU readings)</t>
  </si>
  <si>
    <t xml:space="preserve">Inputs: edit blue cells only</t>
  </si>
  <si>
    <t xml:space="preserve">Ref</t>
  </si>
  <si>
    <t xml:space="preserve">Input</t>
  </si>
  <si>
    <t xml:space="preserve">Base</t>
  </si>
  <si>
    <t xml:space="preserve">Low</t>
  </si>
  <si>
    <t xml:space="preserve">High</t>
  </si>
  <si>
    <t xml:space="preserve">Unit</t>
  </si>
  <si>
    <t xml:space="preserve">Source / basis</t>
  </si>
  <si>
    <t xml:space="preserve">Date</t>
  </si>
  <si>
    <t xml:space="preserve">Page</t>
  </si>
  <si>
    <t xml:space="preserve">URL</t>
  </si>
  <si>
    <t xml:space="preserve">Source type</t>
  </si>
  <si>
    <t xml:space="preserve">Note</t>
  </si>
  <si>
    <t xml:space="preserve">B1</t>
  </si>
  <si>
    <t xml:space="preserve">2020 global D3 output (actual)</t>
  </si>
  <si>
    <t xml:space="preserve">t D3-500</t>
  </si>
  <si>
    <r>
      <rPr>
        <i val="true"/>
        <sz val="9"/>
        <color rgb="FF595959"/>
        <rFont val="Arial"/>
        <family val="0"/>
        <charset val="1"/>
      </rPr>
      <t xml:space="preserve">Boyar (</t>
    </r>
    <r>
      <rPr>
        <i val="true"/>
        <sz val="9"/>
        <color rgb="FF595959"/>
        <rFont val="WenQuanYi Zen Hei"/>
        <family val="2"/>
      </rPr>
      <t xml:space="preserve">博亚和讯</t>
    </r>
    <r>
      <rPr>
        <i val="true"/>
        <sz val="9"/>
        <color rgb="FF595959"/>
        <rFont val="Arial"/>
        <family val="0"/>
        <charset val="1"/>
      </rPr>
      <t xml:space="preserve">), '2020 China Vitamin Industry Development Report', relayed in Zhejiang Garden Biochemical (300401.SZ) convertible bond prospectus (</t>
    </r>
    <r>
      <rPr>
        <i val="true"/>
        <sz val="9"/>
        <color rgb="FF595959"/>
        <rFont val="WenQuanYi Zen Hei"/>
        <family val="2"/>
      </rPr>
      <t xml:space="preserve">创业板向不特定对象发行可转换公司债券募集说明书</t>
    </r>
    <r>
      <rPr>
        <i val="true"/>
        <sz val="9"/>
        <color rgb="FF595959"/>
        <rFont val="Arial"/>
        <family val="0"/>
        <charset val="1"/>
      </rPr>
      <t xml:space="preserve">)</t>
    </r>
  </si>
  <si>
    <t xml:space="preserve">1 Mar 2023</t>
  </si>
  <si>
    <t xml:space="preserve">printed p.1-1-375</t>
  </si>
  <si>
    <t xml:space="preserve">http://static.cninfo.com.cn/finalpage/2023-03-02/1216024789.PDF</t>
  </si>
  <si>
    <t xml:space="preserve">Company filing relaying consultancy</t>
  </si>
  <si>
    <t xml:space="preserve">Same figure in Garden's revised reply to SZSE inquiry, 28 Oct 2022, pp.1-36-37. Range reflects English cross-checks (ECHEMI &lt;7,500 t; OPRD ~100 t pure).</t>
  </si>
  <si>
    <t xml:space="preserve">B2</t>
  </si>
  <si>
    <t xml:space="preserve">Potency conversion: t D3-500 per t pure D3</t>
  </si>
  <si>
    <t xml:space="preserve">ratio</t>
  </si>
  <si>
    <t xml:space="preserve">Garden Bio H1 2026 report definitions: crystalline D3 40 MIU/g, feed grade 500,000 IU/g (40,000,000 / 500,000 = 80)</t>
  </si>
  <si>
    <t xml:space="preserve">15 Aug 2026</t>
  </si>
  <si>
    <t xml:space="preserve">definitions</t>
  </si>
  <si>
    <t xml:space="preserve">http://static.cninfo.com.cn/finalpage/2026-08-15/1225473446.PDF</t>
  </si>
  <si>
    <t xml:space="preserve">Company filing</t>
  </si>
  <si>
    <t xml:space="preserve">B3</t>
  </si>
  <si>
    <t xml:space="preserve">Human/pharma share of 2020 volume</t>
  </si>
  <si>
    <t xml:space="preserve">% of t</t>
  </si>
  <si>
    <t xml:space="preserve">Analyst assumption. Evidence: FEFAC factsheet (75% of D3 to feed, i.e. 25% non-feed); CITIC via Hubei Gongtong SZSE reply (20.6%, 2021, broker); Garden 2010 legal opinion (19%); Jiemian 2020 (~11%)</t>
  </si>
  <si>
    <t xml:space="preserve">2025 (FEFAC)</t>
  </si>
  <si>
    <t xml:space="preserve">PDF p.31 (FEFAC)</t>
  </si>
  <si>
    <t xml:space="preserve">https://fefac.eu/wp-content/uploads/2025/11/Fact-sheet-vulnerability-PUBLIC_rev20251118.pdf</t>
  </si>
  <si>
    <t xml:space="preserve">Analyst assumption (institutional evidence)</t>
  </si>
  <si>
    <t xml:space="preserve">Biggest swing factor for value mix; total value is less sensitive (see Sensitivity).</t>
  </si>
  <si>
    <t xml:space="preserve">C1</t>
  </si>
  <si>
    <t xml:space="preserve">Feed volume growth 2026 vs 2025</t>
  </si>
  <si>
    <t xml:space="preserve">% YoY</t>
  </si>
  <si>
    <t xml:space="preserve">Analyst assumption. Alltech chain-linked 2021-25 average ~1.2% a year (2025: +2.9%); FAO Food Outlook June 2026 world meat +1.0% (via 3tres3)</t>
  </si>
  <si>
    <t xml:space="preserve">Jul 2026</t>
  </si>
  <si>
    <t xml:space="preserve">https://www.3tres3.com/en/print/22631</t>
  </si>
  <si>
    <t xml:space="preserve">Analyst assumption</t>
  </si>
  <si>
    <t xml:space="preserve">No Alltech 2026 forecast exists. D3 inclusion per tonne held constant.</t>
  </si>
  <si>
    <t xml:space="preserve">D1</t>
  </si>
  <si>
    <t xml:space="preserve">Human volume index 2022 (2020 = 1)</t>
  </si>
  <si>
    <t xml:space="preserve">index</t>
  </si>
  <si>
    <t xml:space="preserve">Analyst assumption from Fermenta filed human-D3 volume changes (CY2022/CY2020 = 0.93), CARE Nov 2023 (destocking), dsm-firmenich 2022-23 commentary</t>
  </si>
  <si>
    <t xml:space="preserve">2022-23</t>
  </si>
  <si>
    <t xml:space="preserve">https://www.careratings.com/upload/CompanyFiles/PR/202311131111_Fermenta_Biotech_Limited.pdf</t>
  </si>
  <si>
    <t xml:space="preserve">Analyst assumption (company filings)</t>
  </si>
  <si>
    <t xml:space="preserve">Fermenta volumes: FY21 +71%, FY22 +7%, FY23 -30% (BSE earnings presentations).</t>
  </si>
  <si>
    <t xml:space="preserve">D2</t>
  </si>
  <si>
    <t xml:space="preserve">Human volume index 2025 (2020 = 1)</t>
  </si>
  <si>
    <t xml:space="preserve">Analyst assumption from Fermenta filed volumes (CY2025/CY2020 = 1.13; FY24 -18%, FY25 +43%, FY26 +21%) and NBJ (US vitamin D 2025 +12.7% vs 2020)</t>
  </si>
  <si>
    <t xml:space="preserve">2026</t>
  </si>
  <si>
    <t xml:space="preserve">AR p.14</t>
  </si>
  <si>
    <t xml:space="preserve">https://fermentabiotech.com/wp-content/uploads/2026/09/Annual-Report-2025-26-1.pdf</t>
  </si>
  <si>
    <t xml:space="preserve">D3</t>
  </si>
  <si>
    <t xml:space="preserve">Human volume index 2026E (2020 = 1)</t>
  </si>
  <si>
    <t xml:space="preserve">Analyst assumption: Fermenta Q1FY27 human volumes +18% QoQ; FY27 flat to +10% gives 1.19-1.28; base trimmed for one-producer bias</t>
  </si>
  <si>
    <t xml:space="preserve">Aug 2026</t>
  </si>
  <si>
    <t xml:space="preserve">https://fermentabiotech.com/wp-content/uploads/2026/09/Investor-PresentationQ1FY27.pdf</t>
  </si>
  <si>
    <t xml:space="preserve">E1</t>
  </si>
  <si>
    <t xml:space="preserve">Feed-grade price 2020 (annual avg)</t>
  </si>
  <si>
    <t xml:space="preserve">USD/kg D3-500</t>
  </si>
  <si>
    <t xml:space="preserve">Analyst reconstruction from dated points: Feedinfo 2020 EUR 9-60/kg (Fermenta BSE deck); Glowlit spot USD 34.8 (27 Mar), ~39.1 (8 Jun), 21.1 (2 Sep); Fermenta 'USD 17-20' (Nov 2020)</t>
  </si>
  <si>
    <t xml:space="preserve">2020</t>
  </si>
  <si>
    <t xml:space="preserve">deck p.26</t>
  </si>
  <si>
    <t xml:space="preserve">https://www.bseindia.com/xml-data/corpfiling/AttachHis/33107246-301d-4469-922a-4a7d52f54130.pdf</t>
  </si>
  <si>
    <t xml:space="preserve">Analyst estimate (trade press, company filing)</t>
  </si>
  <si>
    <t xml:space="preserve">2020 had a COVID price spike (Apr-May).</t>
  </si>
  <si>
    <t xml:space="preserve">E2</t>
  </si>
  <si>
    <t xml:space="preserve">Feed-grade price 2022 (annual avg)</t>
  </si>
  <si>
    <t xml:space="preserve">Analyst reconstruction: Feedinfo 2022 EUR 7-16/kg (Fermenta Q1FY24 presentation p.8); Fermenta FY23 animal price -25% YoY</t>
  </si>
  <si>
    <t xml:space="preserve">Aug 2023</t>
  </si>
  <si>
    <t xml:space="preserve">p.8</t>
  </si>
  <si>
    <t xml:space="preserve">https://www.bseindia.com/xml-data/corpfiling/AttachHis/3eda258d-3e05-4203-9491-0bf011255523.pdf</t>
  </si>
  <si>
    <t xml:space="preserve">Analyst estimate (company filing relaying Feedinfo)</t>
  </si>
  <si>
    <t xml:space="preserve">2022 was the price trough.</t>
  </si>
  <si>
    <t xml:space="preserve">E3</t>
  </si>
  <si>
    <t xml:space="preserve">Feed-grade price 2025 (annual avg)</t>
  </si>
  <si>
    <t xml:space="preserve">Analyst reconstruction: dsm-firmenich Q4 2025 outlook (North America contracts USD 35-42/kg, 15 Sep 2025); India imports from Switzerland USD 34.3/kg (DGCI&amp;S); Brazil China-origin USD 28.8/kg (Comex Stat)</t>
  </si>
  <si>
    <t xml:space="preserve">15 Sep 2025</t>
  </si>
  <si>
    <t xml:space="preserve">https://www.dsm-firmenich.com/anh/en_NA/news/articles/vitamin-market-outlook-q4-2025.html</t>
  </si>
  <si>
    <t xml:space="preserve">Analyst estimate (producer commentary, official trade data)</t>
  </si>
  <si>
    <t xml:space="preserve">E4</t>
  </si>
  <si>
    <t xml:space="preserve">Feed-grade price 2026E (annual avg)</t>
  </si>
  <si>
    <t xml:space="preserve">Analyst reconstruction: Fermenta Q1FY27 animal realisation -40% YoY; Brazil China-origin USD 24.0/kg Jan-Sep 2026 (Comex Stat); dsm-firmenich 11 Sep 2026 'relatively soft'</t>
  </si>
  <si>
    <t xml:space="preserve">Sep 2026</t>
  </si>
  <si>
    <t xml:space="preserve">https://www.dsm-firmenich.com/anh/en_NA/news/articles/vitamin-market-update-q4-2026.html</t>
  </si>
  <si>
    <t xml:space="preserve">Analyst estimate (company filing, official trade data)</t>
  </si>
  <si>
    <t xml:space="preserve">China domestic ~RMB 95-105/kg in Oct 2026.</t>
  </si>
  <si>
    <t xml:space="preserve">F1</t>
  </si>
  <si>
    <t xml:space="preserve">Human/pharma crystalline price 2020</t>
  </si>
  <si>
    <t xml:space="preserve">USD/kg pure</t>
  </si>
  <si>
    <t xml:space="preserve">Fermenta analyst meet (BSE, 23 Nov 2020): human side 'between $2000 to $3000 per kg'; India DGCI&amp;S export unit value for crystalline-type rows USD 1,569/kg (CY2020)</t>
  </si>
  <si>
    <t xml:space="preserve">23 Nov 2020</t>
  </si>
  <si>
    <t xml:space="preserve">https://www.bseindia.com/xml-data/corpfiling/AttachHis/23445550-d343-4c2e-98b8-ed6d83f24557.pdf</t>
  </si>
  <si>
    <t xml:space="preserve">Company filing; official trade data</t>
  </si>
  <si>
    <t xml:space="preserve">F2</t>
  </si>
  <si>
    <t xml:space="preserve">Human/pharma crystalline price 2022</t>
  </si>
  <si>
    <t xml:space="preserve">Analyst estimate: 2020 x (1 + ~9%), from India crystalline-tier export unit values USD 1,569 (2020) to 1,705 (2022)</t>
  </si>
  <si>
    <t xml:space="preserve">Oct 2026 pull</t>
  </si>
  <si>
    <t xml:space="preserve">https://tradestat.commerce.gov.in/eidb/commodity_wise_all_countries_export</t>
  </si>
  <si>
    <t xml:space="preserve">Analyst estimate (official trade data)</t>
  </si>
  <si>
    <t xml:space="preserve">F3</t>
  </si>
  <si>
    <t xml:space="preserve">Human/pharma crystalline price 2025</t>
  </si>
  <si>
    <t xml:space="preserve">Analyst estimate: India crystalline-tier export unit value USD 1,728 (CY2025), +10% vs 2020; Fermenta human price changes FY21-FY25 +2% to +5% a year</t>
  </si>
  <si>
    <t xml:space="preserve">F4</t>
  </si>
  <si>
    <t xml:space="preserve">Human/pharma crystalline price 2026E</t>
  </si>
  <si>
    <t xml:space="preserve">Analyst assumption: flat on 2025</t>
  </si>
  <si>
    <t xml:space="preserve">D0</t>
  </si>
  <si>
    <t xml:space="preserve">Human volume index 2023 (2020 = 1)</t>
  </si>
  <si>
    <t xml:space="preserve">Analyst assumption: Fermenta filed human volumes give CY2023/CY2020 = 0.73 (FY23 -30%, FY24 -18%); CARE Nov 2023: channel 'saddled with surplus stocks'; dsm-firmenich FY2023 HNC volumes -6% ('persistent destocking'). End-consumption fell less than Fermenta's sales</t>
  </si>
  <si>
    <t xml:space="preserve">Nov 2023</t>
  </si>
  <si>
    <t xml:space="preserve">Used only in the IFEEDER 2023 base check.</t>
  </si>
  <si>
    <t xml:space="preserve">J1</t>
  </si>
  <si>
    <t xml:space="preserve">IFEEDER 2023 global D3 supply</t>
  </si>
  <si>
    <t xml:space="preserve">MT (basis unstated)</t>
  </si>
  <si>
    <t xml:space="preserve">Decision Innovation Solutions &amp; Lobo Consulting Solutions for IFEEDER (AFIA research foundation), 'Strategic Assessment on Impact of Vitamin and Amino Acid Supply Chain Disruptions on U.S. Food Security', section 3.3.3: 'estimate global vitamin D3 supply for 2023 at 3,640 MT'</t>
  </si>
  <si>
    <t xml:space="preserve">Nov 2025</t>
  </si>
  <si>
    <t xml:space="preserve">p.23</t>
  </si>
  <si>
    <t xml:space="preserve">https://www.afia.org/pub/?id=c9faec10-dada-d077-7081-0e9bd8e1bcee</t>
  </si>
  <si>
    <t xml:space="preserve">Institutional study (consultant estimates)</t>
  </si>
  <si>
    <t xml:space="preserve">No IU/g potency basis is given anywhere in the section. p.2 table labels 3,639 as capacity (inconsistent).</t>
  </si>
  <si>
    <t xml:space="preserve">J2</t>
  </si>
  <si>
    <t xml:space="preserve">IFEEDER 2023 global D3 demand</t>
  </si>
  <si>
    <t xml:space="preserve">Decision Innovation Solutions &amp; Lobo Consulting Solutions for IFEEDER (AFIA research foundation), 'Strategic Assessment on Impact of Vitamin and Amino Acid Supply Chain Disruptions on U.S. Food Security', section 3.3.3: 'global demand at approximately 3,755 MT'</t>
  </si>
  <si>
    <t xml:space="preserve">J3</t>
  </si>
  <si>
    <t xml:space="preserve">IFEEDER 2023 global D3 capacity</t>
  </si>
  <si>
    <t xml:space="preserve">Decision Innovation Solutions &amp; Lobo Consulting Solutions for IFEEDER (AFIA research foundation), 'Strategic Assessment on Impact of Vitamin and Amino Acid Supply Chain Disruptions on U.S. Food Security', section 3.3.3: capacity 'about 19,000 MT' (corroborated by 'multiple industry sources'); flat to June 2025; utilisation 20%; China ~93%, India 5%, EU 3%</t>
  </si>
  <si>
    <t xml:space="preserve">p.23, Fig. 13</t>
  </si>
  <si>
    <t xml:space="preserve">Capacity/demand of ~5x matches FEFAC's 'five times demand' (2025 factsheet).</t>
  </si>
  <si>
    <t xml:space="preserve">J4</t>
  </si>
  <si>
    <t xml:space="preserve">Reading A: IU/g basis of IFEEDER tonnes</t>
  </si>
  <si>
    <t xml:space="preserve">IU/g</t>
  </si>
  <si>
    <t xml:space="preserve">Analyst assumption: industry convention for feed-grade tonnage (D3-500)</t>
  </si>
  <si>
    <t xml:space="preserve">J5</t>
  </si>
  <si>
    <t xml:space="preserve">Reading B: IU/g basis of IFEEDER tonnes</t>
  </si>
  <si>
    <t xml:space="preserve">Analyst assumption: D3 1.0 MIU/g (oil) convention</t>
  </si>
  <si>
    <t xml:space="preserve">G1</t>
  </si>
  <si>
    <t xml:space="preserve">Optional: your 2022 base volume (blank = derived)</t>
  </si>
  <si>
    <t xml:space="preserve">Enter a 2022 actual-output figure if you have one; the '2022-base check' block on Model re-runs 2026E from it</t>
  </si>
  <si>
    <t xml:space="preserve">User input</t>
  </si>
  <si>
    <t xml:space="preserve">No public 2022 global output figure was found in English or Chinese filings.</t>
  </si>
  <si>
    <t xml:space="preserve">H1</t>
  </si>
  <si>
    <t xml:space="preserve">FX: RMB per USD</t>
  </si>
  <si>
    <t xml:space="preserve">RMB/USD</t>
  </si>
  <si>
    <t xml:space="preserve">Analyst assumption (approximate 2025-26 rate)</t>
  </si>
  <si>
    <t xml:space="preserve">Used only in cross-checks.</t>
  </si>
  <si>
    <t xml:space="preserve">H3</t>
  </si>
  <si>
    <t xml:space="preserve">FX: RMB per USD (2022)</t>
  </si>
  <si>
    <t xml:space="preserve">Analyst assumption (approximate 2022 average)</t>
  </si>
  <si>
    <t xml:space="preserve">Used only in the 2022 Garden cross-check.</t>
  </si>
  <si>
    <t xml:space="preserve">H2</t>
  </si>
  <si>
    <t xml:space="preserve">FX: INR per USD</t>
  </si>
  <si>
    <t xml:space="preserve">INR/USD</t>
  </si>
  <si>
    <t xml:space="preserve">Analyst assumption (approximate FY26 rate)</t>
  </si>
  <si>
    <t xml:space="preserve">Global compound feed volume index (Alltech Agri-Food Outlook)</t>
  </si>
  <si>
    <t xml:space="preserve">Headline levels are restated almost every year (coverage changes), so the index chains each release's stated YoY growth. 2020 = 1.000.</t>
  </si>
  <si>
    <t xml:space="preserve">Data year</t>
  </si>
  <si>
    <t xml:space="preserve">Headline, Mt (as published)</t>
  </si>
  <si>
    <t xml:space="preserve">Stated YoY</t>
  </si>
  <si>
    <t xml:space="preserve">Chain index (2020 = 1)</t>
  </si>
  <si>
    <t xml:space="preserve">Release</t>
  </si>
  <si>
    <t xml:space="preserve">Source</t>
  </si>
  <si>
    <t xml:space="preserve">26 Jan 2021</t>
  </si>
  <si>
    <t xml:space="preserve">https://www.agnavigator.com/Article/2021/01/26/china-back-on-top-in-global-feed-production-ranking/</t>
  </si>
  <si>
    <t xml:space="preserve">Company survey via trade press</t>
  </si>
  <si>
    <t xml:space="preserve">2021</t>
  </si>
  <si>
    <t xml:space="preserve">9 Feb 2022</t>
  </si>
  <si>
    <t xml:space="preserve">https://www.provisioneronline.com/articles/112062-2022-alltech-agri-food-outlook-reveals-global-feed-production-survey-data-and-trends-shaping-the-future</t>
  </si>
  <si>
    <t xml:space="preserve">2022</t>
  </si>
  <si>
    <t xml:space="preserve">24 Jan 2023</t>
  </si>
  <si>
    <t xml:space="preserve">https://www.poultryproducer.com/?p=17574</t>
  </si>
  <si>
    <t xml:space="preserve">2023</t>
  </si>
  <si>
    <t xml:space="preserve">2 Apr 2024 (adjusted 15 Apr 2024)</t>
  </si>
  <si>
    <t xml:space="preserve">https://millingmea.com/global-feed-production-remains-steady-despite-challenges-alltech-agri-food-outlook-2024/</t>
  </si>
  <si>
    <t xml:space="preserve">2024</t>
  </si>
  <si>
    <t xml:space="preserve">29 Apr 2025</t>
  </si>
  <si>
    <t xml:space="preserve">https://www.alltech.com/press-release/2025-alltech-agri-food-outlook-shares-global-feed-production-survey-data</t>
  </si>
  <si>
    <t xml:space="preserve">Company press release</t>
  </si>
  <si>
    <t xml:space="preserve">2025</t>
  </si>
  <si>
    <t xml:space="preserve">21 Apr 2026</t>
  </si>
  <si>
    <t xml:space="preserve">https://www.alltech.com/press-release/2026-alltech-agri-food-outlook-shares-global-feed-production-survey-data</t>
  </si>
  <si>
    <t xml:space="preserve">Note: 2023 YoY uses Alltech's 15 Apr 2024 adjustment (-0.01%; first published -0.2%). 2024 growth is against a restated 2023 of 1,380 Mt. The 2026 release cites 38,837 mills vs 28,235 a year earlier.</t>
  </si>
  <si>
    <t xml:space="preserve">Extrapolation from the 2020 base (USD m unless stated)</t>
  </si>
  <si>
    <t xml:space="preserve">Line</t>
  </si>
  <si>
    <t xml:space="preserve">2026E</t>
  </si>
  <si>
    <t xml:space="preserve">Formula / note</t>
  </si>
  <si>
    <t xml:space="preserve">Volume</t>
  </si>
  <si>
    <t xml:space="preserve">Feed volume index (2020 = 1)</t>
  </si>
  <si>
    <t xml:space="preserve">Alltech chain-linked stated growth ('Feed index'); 2026 = 2025 x (1 + Inputs C1)</t>
  </si>
  <si>
    <t xml:space="preserve">Human/pharma volume index (2020 = 1)</t>
  </si>
  <si>
    <t xml:space="preserve">Inputs D1-D3 (Fermenta filed volumes, NBJ, CRN, dsm-firmenich)</t>
  </si>
  <si>
    <t xml:space="preserve">Feed volume, t D3-500</t>
  </si>
  <si>
    <t xml:space="preserve">2020 base x (1 - human share) x feed index</t>
  </si>
  <si>
    <t xml:space="preserve">Human/pharma volume, t D3-500</t>
  </si>
  <si>
    <t xml:space="preserve">2020 base x human share x human index</t>
  </si>
  <si>
    <t xml:space="preserve">Total volume, t D3-500</t>
  </si>
  <si>
    <t xml:space="preserve">Total volume, t pure D3</t>
  </si>
  <si>
    <t xml:space="preserve">÷ 80 (Inputs B2)</t>
  </si>
  <si>
    <t xml:space="preserve">Human/pharma volume, t pure D3</t>
  </si>
  <si>
    <t xml:space="preserve">Volume growth vs 2020</t>
  </si>
  <si>
    <t xml:space="preserve">Prices</t>
  </si>
  <si>
    <t xml:space="preserve">Feed-grade price, USD/kg D3-500</t>
  </si>
  <si>
    <t xml:space="preserve">Inputs E1-E4 (annual averages)</t>
  </si>
  <si>
    <t xml:space="preserve">Human/pharma crystalline price, USD/kg pure</t>
  </si>
  <si>
    <t xml:space="preserve">Inputs F1-F4</t>
  </si>
  <si>
    <t xml:space="preserve">Human price per IU vs feed (x)</t>
  </si>
  <si>
    <t xml:space="preserve">Crystalline price ÷ 80 ÷ feed price: per-IU premium of human grade</t>
  </si>
  <si>
    <t xml:space="preserve">Value (ingredient level, USD m)</t>
  </si>
  <si>
    <t xml:space="preserve">Feed value</t>
  </si>
  <si>
    <t xml:space="preserve">t x USD/kg ÷ 1,000</t>
  </si>
  <si>
    <t xml:space="preserve">Human/pharma value (API-equivalent)</t>
  </si>
  <si>
    <t xml:space="preserve">t pure x USD/kg ÷ 1,000</t>
  </si>
  <si>
    <t xml:space="preserve">Total value, USD m</t>
  </si>
  <si>
    <t xml:space="preserve">Feed share of value</t>
  </si>
  <si>
    <t xml:space="preserve">Total value, low (low prices)</t>
  </si>
  <si>
    <t xml:space="preserve">Volume at base; prices at Inputs 'Low'</t>
  </si>
  <si>
    <t xml:space="preserve">Total value, high (high prices)</t>
  </si>
  <si>
    <t xml:space="preserve">Volume at base; prices at Inputs 'High'</t>
  </si>
  <si>
    <t xml:space="preserve">2022-base check (re-runs 2026E from a 2022 volume)</t>
  </si>
  <si>
    <t xml:space="preserve">2022 base volume used, t D3-500</t>
  </si>
  <si>
    <t xml:space="preserve">Your Inputs G1 figure if entered, else the derived 2022 total (C9)</t>
  </si>
  <si>
    <t xml:space="preserve">Human share of 2022 base</t>
  </si>
  <si>
    <t xml:space="preserve">From the 2020-base path</t>
  </si>
  <si>
    <t xml:space="preserve">Feed multiplier 2022 -&gt; 2026</t>
  </si>
  <si>
    <t xml:space="preserve">Feed index ratio</t>
  </si>
  <si>
    <t xml:space="preserve">Human multiplier 2022 -&gt; 2026</t>
  </si>
  <si>
    <t xml:space="preserve">Human index ratio</t>
  </si>
  <si>
    <t xml:space="preserve">2026E volume from 2022 base, t D3-500</t>
  </si>
  <si>
    <t xml:space="preserve">2026E value from 2022 base, USD m</t>
  </si>
  <si>
    <t xml:space="preserve">Difference vs 2020-base 2026E value</t>
  </si>
  <si>
    <t xml:space="preserve">Zero unless you enter your own 2022 base</t>
  </si>
  <si>
    <t xml:space="preserve">Interpretation: API-equivalent human value prices all human volume at crystalline USD/kg; formulated forms (oils, CWS beadlets, spray-dried D3 100) sell at several times that per IU, so an 'as-sold' human market is larger (see Cross-checks). For an API maker such as Symbiotec, the API-equivalent pool is the relevant addressable market.</t>
  </si>
  <si>
    <t xml:space="preserve">2023 IFEEDER base check (English public source; potency basis unstated)</t>
  </si>
  <si>
    <t xml:space="preserve">Reading A: 500,000 IU/g</t>
  </si>
  <si>
    <t xml:space="preserve">Reading B: 1,000,000 IU/g</t>
  </si>
  <si>
    <t xml:space="preserve">IFEEDER 2023 supply, MT as stated</t>
  </si>
  <si>
    <t xml:space="preserve">Inputs J1 (p.23)</t>
  </si>
  <si>
    <t xml:space="preserve">Assumed potency, IU/g</t>
  </si>
  <si>
    <t xml:space="preserve">Inputs J4/J5</t>
  </si>
  <si>
    <t xml:space="preserve">2023 supply, t D3-500 equivalent</t>
  </si>
  <si>
    <t xml:space="preserve">MT x IU/g ÷ 500,000</t>
  </si>
  <si>
    <t xml:space="preserve">2023 supply, t pure D3</t>
  </si>
  <si>
    <t xml:space="preserve">Model's own 2023 volume (2020 base), t D3-500</t>
  </si>
  <si>
    <t xml:space="preserve">Boyar 2020 base rolled to 2023 with the same indices</t>
  </si>
  <si>
    <t xml:space="preserve">IFEEDER as % of model 2023</t>
  </si>
  <si>
    <t xml:space="preserve">Human share of 2023 volume</t>
  </si>
  <si>
    <t xml:space="preserve">From the model path</t>
  </si>
  <si>
    <t xml:space="preserve">Feed multiplier 2023 -&gt; 2026</t>
  </si>
  <si>
    <t xml:space="preserve">Human multiplier 2023 -&gt; 2026</t>
  </si>
  <si>
    <t xml:space="preserve">Human index ratio (2023 destock trough)</t>
  </si>
  <si>
    <t xml:space="preserve">2026E volume from IFEEDER base, t D3-500</t>
  </si>
  <si>
    <t xml:space="preserve">2026E value from IFEEDER base, USD m</t>
  </si>
  <si>
    <t xml:space="preserve">Same 2026 prices as the main model</t>
  </si>
  <si>
    <t xml:space="preserve">vs 2020-base 2026E value</t>
  </si>
  <si>
    <t xml:space="preserve">IFEEDER capacity, t pure D3</t>
  </si>
  <si>
    <t xml:space="preserve">Compare ~184 t pure in Chinese broker capacity tables (14,740 t D3-500)</t>
  </si>
  <si>
    <t xml:space="preserve">IFEEDER capacity ÷ demand (x)</t>
  </si>
  <si>
    <t xml:space="preserve">Basis-independent; FEFAC 2025 says 'five times'</t>
  </si>
  <si>
    <t xml:space="preserve">Reading: on 500,000 IU/g the IFEEDER supply is ~45 t pure, about 40% below the Boyar-based 2023 path and half the ~100 t pure in dsm-firmenich authors' OPRD paper; on 1,000,000 IU/g it is ~91 t pure (consistent with both), but its capacity would then be ~475 t pure, ~2.6x Chinese capacity tables. No single basis reconciles all three IFEEDER numbers, so it brackets the base case rather than replacing it.</t>
  </si>
  <si>
    <t xml:space="preserve">2026E total value (USD m): feed-grade price x human share</t>
  </si>
  <si>
    <t xml:space="preserve">Other inputs at base. Rows: feed-grade price USD/kg D3-500. Columns: human/pharma share of 2020 volume.</t>
  </si>
  <si>
    <t xml:space="preserve">Feed price \ human share</t>
  </si>
  <si>
    <t xml:space="preserve">2026E total volume (t D3-500) is almost insensitive to the split: see Model row 9.</t>
  </si>
  <si>
    <t xml:space="preserve">Evidence for 2020-2023 global market size (volume and value)</t>
  </si>
  <si>
    <t xml:space="preserve">Year</t>
  </si>
  <si>
    <t xml:space="preserve">Figure as stated</t>
  </si>
  <si>
    <t xml:space="preserve">Metric</t>
  </si>
  <si>
    <t xml:space="preserve">Stated basis</t>
  </si>
  <si>
    <t xml:space="preserve">Implied t D3-500</t>
  </si>
  <si>
    <t xml:space="preserve">Implied t pure</t>
  </si>
  <si>
    <t xml:space="preserve">Language</t>
  </si>
  <si>
    <t xml:space="preserve">Document</t>
  </si>
  <si>
    <t xml:space="preserve">Used?</t>
  </si>
  <si>
    <t xml:space="preserve">Comment</t>
  </si>
  <si>
    <t xml:space="preserve">6,250 t</t>
  </si>
  <si>
    <t xml:space="preserve">Actual output</t>
  </si>
  <si>
    <t xml:space="preserve">500,000 IU/g</t>
  </si>
  <si>
    <t xml:space="preserve">Chinese</t>
  </si>
  <si>
    <t xml:space="preserve">Zhejiang Garden Biochemical CB prospectus, citing Boyar 2020 China Vitamin Industry Development Report</t>
  </si>
  <si>
    <t xml:space="preserve">p.1-1-375</t>
  </si>
  <si>
    <t xml:space="preserve">Only actual-output figure found in any public filing.</t>
  </si>
  <si>
    <t xml:space="preserve">14,600 t</t>
  </si>
  <si>
    <t xml:space="preserve">Capacity</t>
  </si>
  <si>
    <t xml:space="preserve">Same prospectus (Boyar)</t>
  </si>
  <si>
    <t xml:space="preserve">No</t>
  </si>
  <si>
    <t xml:space="preserve">Implies ~43% utilisation.</t>
  </si>
  <si>
    <t xml:space="preserve">Garden &gt;3,000 t = &gt;40% of industry</t>
  </si>
  <si>
    <t xml:space="preserve">Producer share</t>
  </si>
  <si>
    <t xml:space="preserve">Unstated</t>
  </si>
  <si>
    <t xml:space="preserve">English</t>
  </si>
  <si>
    <t xml:space="preserve">ECHEMI, 'Vitamin prices bottomed out and the traditional peak sales season is coming', citing China Feed Industry Information Network</t>
  </si>
  <si>
    <t xml:space="preserve">17 Aug 2020</t>
  </si>
  <si>
    <t xml:space="preserve">https://www.echemi.com/cms/114560.html</t>
  </si>
  <si>
    <t xml:space="preserve">Trade aggregator</t>
  </si>
  <si>
    <t xml:space="preserve">Cross-check</t>
  </si>
  <si>
    <t xml:space="preserve">Implies industry below ~7,500 t (upper bound); consistent with 6,250 t.</t>
  </si>
  <si>
    <t xml:space="preserve">Pre-2021</t>
  </si>
  <si>
    <t xml:space="preserve">10,000-12,000 MT 'before pandemic'</t>
  </si>
  <si>
    <t xml:space="preserve">Management estimate</t>
  </si>
  <si>
    <t xml:space="preserve">Unstated (likely D3-500)</t>
  </si>
  <si>
    <t xml:space="preserve">Fermenta Biotech Q3 FY22 earnings call transcript (BSE filing)</t>
  </si>
  <si>
    <t xml:space="preserve">PDF p.14 (printed p.13)</t>
  </si>
  <si>
    <t xml:space="preserve">16 Feb 2022</t>
  </si>
  <si>
    <t xml:space="preserve">https://www.bseindia.com/xml-data/corpfiling/AttachHis/9e5e419e-6095-47a2-a06e-bf49cfe9a712.pdf</t>
  </si>
  <si>
    <t xml:space="preserve">Company filing (management estimate, unsourced)</t>
  </si>
  <si>
    <t xml:space="preserve">Matches broker demand estimates rather than actual output; Q2 FY22 call (17 Nov 2021) calls it the animal-feed market.</t>
  </si>
  <si>
    <t xml:space="preserve">Undated</t>
  </si>
  <si>
    <t xml:space="preserve">~100 t a year worldwide production</t>
  </si>
  <si>
    <t xml:space="preserve">Production</t>
  </si>
  <si>
    <t xml:space="preserve">Pure D3</t>
  </si>
  <si>
    <t xml:space="preserve">Schütz J. et al. (dsm-firmenich), Organic Process Research &amp; Development 28(11)</t>
  </si>
  <si>
    <t xml:space="preserve">25 Oct 2024</t>
  </si>
  <si>
    <t xml:space="preserve">https://doi.org/10.1021/acs.oprd.4c00333</t>
  </si>
  <si>
    <t xml:space="preserve">Peer-reviewed (producer-authored)</t>
  </si>
  <si>
    <t xml:space="preserve">Quote read via search index (publisher blocked); year not stated.</t>
  </si>
  <si>
    <t xml:space="preserve">Supply 3,640 MT; demand ~3,755 MT; capacity ~19,000 MT; China ~93% of capacity</t>
  </si>
  <si>
    <t xml:space="preserve">Supply/demand</t>
  </si>
  <si>
    <t xml:space="preserve">IFEEDER (AFIA foundation) / DIS &amp; LCS, Strategic Assessment on Vitamin and Amino Acid Supply Chain Disruptions</t>
  </si>
  <si>
    <t xml:space="preserve">Institutional study</t>
  </si>
  <si>
    <t xml:space="preserve">Check</t>
  </si>
  <si>
    <t xml:space="preserve">Basis unstated; see Model rows 38-56 for both readings. p.2 table labels 3,639 as capacity.</t>
  </si>
  <si>
    <t xml:space="preserve">10,308 t (feed 8,189 t)</t>
  </si>
  <si>
    <t xml:space="preserve">Use</t>
  </si>
  <si>
    <t xml:space="preserve">Hubei Gongtong reply to SZSE inquiry, citing CITIC Securities</t>
  </si>
  <si>
    <t xml:space="preserve">30 Aug 2022</t>
  </si>
  <si>
    <t xml:space="preserve">Company filing relaying broker</t>
  </si>
  <si>
    <t xml:space="preserve">Broker-derived demand.</t>
  </si>
  <si>
    <t xml:space="preserve">2021-22</t>
  </si>
  <si>
    <t xml:space="preserve">14,793 t</t>
  </si>
  <si>
    <t xml:space="preserve">Theoretical demand</t>
  </si>
  <si>
    <t xml:space="preserve">Garden CB prospectus (own calculation: Alltech feed x 6 g/t; population x dose)</t>
  </si>
  <si>
    <t xml:space="preserve">pp.1-1-101 to 103</t>
  </si>
  <si>
    <t xml:space="preserve">Need, not consumption.</t>
  </si>
  <si>
    <t xml:space="preserve">2019</t>
  </si>
  <si>
    <t xml:space="preserve">Demand ~6,750 t; capacity ~14,600 t</t>
  </si>
  <si>
    <t xml:space="preserve">Demand</t>
  </si>
  <si>
    <t xml:space="preserve">BP Equities, Fermenta Biotech initiating coverage (citing Boyar)</t>
  </si>
  <si>
    <t xml:space="preserve">p.7</t>
  </si>
  <si>
    <t xml:space="preserve">Mar 2021</t>
  </si>
  <si>
    <t xml:space="preserve">https://s3.ap-south-1.amazonaws.com/bpwealth-cdn/pdf/1618577883-BP%20Equities_%20Fermenta%20Biotech%20Ltd._Initiating%20Coverage_BUY_Trgt%20402.pdf</t>
  </si>
  <si>
    <t xml:space="preserve">Broker research</t>
  </si>
  <si>
    <t xml:space="preserve">English fallback only (broker).</t>
  </si>
  <si>
    <t xml:space="preserve">6,281 t (derived)</t>
  </si>
  <si>
    <t xml:space="preserve">Derived output</t>
  </si>
  <si>
    <t xml:space="preserve">Model</t>
  </si>
  <si>
    <t xml:space="preserve">This model: 2020 base x indices</t>
  </si>
  <si>
    <t xml:space="preserve">Analyst calculation</t>
  </si>
  <si>
    <t xml:space="preserve">No public 2022 output figure found.</t>
  </si>
  <si>
    <t xml:space="preserve">USD 1.1bn ('vitamin D', all forms)</t>
  </si>
  <si>
    <t xml:space="preserve">Value</t>
  </si>
  <si>
    <t xml:space="preserve">Finished/all forms</t>
  </si>
  <si>
    <t xml:space="preserve">MarketsandMarkets via IPS News reprint</t>
  </si>
  <si>
    <t xml:space="preserve">https://ipsnews.net/business/?p=62618</t>
  </si>
  <si>
    <t xml:space="preserve">Paid market research</t>
  </si>
  <si>
    <t xml:space="preserve">Not an ingredient-level value; includes D2 and analogues.</t>
  </si>
  <si>
    <t xml:space="preserve">USD 1.3bn ('vitamin D', all forms)</t>
  </si>
  <si>
    <t xml:space="preserve">MarketsandMarkets press release</t>
  </si>
  <si>
    <t xml:space="preserve">25 Nov 2022</t>
  </si>
  <si>
    <t xml:space="preserve">https://www.marketsandmarkets.com/PressReleases/vitamin-d.asp</t>
  </si>
  <si>
    <t xml:space="preserve">As above.</t>
  </si>
  <si>
    <t xml:space="preserve">1997-98</t>
  </si>
  <si>
    <t xml:space="preserve">EU ECU 20m (1998); world ~ECU 67m (1997 producer turnover)</t>
  </si>
  <si>
    <t xml:space="preserve">Producer sales</t>
  </si>
  <si>
    <t xml:space="preserve">European Commission Decision 2003/2/EC (vitamins cartel), recital 60 and table p. L 6/13</t>
  </si>
  <si>
    <t xml:space="preserve">OJ L 6/7, L 6/13</t>
  </si>
  <si>
    <t xml:space="preserve">10 Jan 2003</t>
  </si>
  <si>
    <t xml:space="preserve">http://publications.europa.eu/resource/celex/32003D0002</t>
  </si>
  <si>
    <t xml:space="preserve">Regulator decision</t>
  </si>
  <si>
    <t xml:space="preserve">Only official value figure; historical.</t>
  </si>
  <si>
    <t xml:space="preserve">Implied t D3-500 for ECHEMI is the upper bound (3,000 / 40%); for Fermenta the midpoint; for OPRD 100 t pure x 80.</t>
  </si>
  <si>
    <t xml:space="preserve">Cross-checks against company disclosures</t>
  </si>
  <si>
    <t xml:space="preserve">Garden 2025: implied market from revenue/share</t>
  </si>
  <si>
    <t xml:space="preserve">Garden vitamin products revenue 2025</t>
  </si>
  <si>
    <t xml:space="preserve">RMB m</t>
  </si>
  <si>
    <t xml:space="preserve">Garden 2025 annual report, segment table</t>
  </si>
  <si>
    <t xml:space="preserve">http://static.cninfo.com.cn/finalpage/2026-04-18/1225116031.PDF</t>
  </si>
  <si>
    <t xml:space="preserve">Garden D3 market share (low)</t>
  </si>
  <si>
    <t xml:space="preserve">%</t>
  </si>
  <si>
    <r>
      <rPr>
        <i val="true"/>
        <sz val="9"/>
        <color rgb="FF595959"/>
        <rFont val="Arial"/>
        <family val="0"/>
        <charset val="1"/>
      </rPr>
      <t xml:space="preserve">Garden investor Q&amp;A: '</t>
    </r>
    <r>
      <rPr>
        <i val="true"/>
        <sz val="9"/>
        <color rgb="FF595959"/>
        <rFont val="WenQuanYi Zen Hei"/>
        <family val="2"/>
      </rPr>
      <t xml:space="preserve">公司维生素</t>
    </r>
    <r>
      <rPr>
        <i val="true"/>
        <sz val="9"/>
        <color rgb="FF595959"/>
        <rFont val="Arial"/>
        <family val="0"/>
        <charset val="1"/>
      </rPr>
      <t xml:space="preserve">D3</t>
    </r>
    <r>
      <rPr>
        <i val="true"/>
        <sz val="9"/>
        <color rgb="FF595959"/>
        <rFont val="WenQuanYi Zen Hei"/>
        <family val="2"/>
      </rPr>
      <t xml:space="preserve">产品当前市占率</t>
    </r>
    <r>
      <rPr>
        <i val="true"/>
        <sz val="9"/>
        <color rgb="FF595959"/>
        <rFont val="Arial"/>
        <family val="0"/>
        <charset val="1"/>
      </rPr>
      <t xml:space="preserve">30-40%'</t>
    </r>
  </si>
  <si>
    <t xml:space="preserve">http://static.cninfo.com.cn/finalpage/2025-04-07/1223021870.PDF</t>
  </si>
  <si>
    <t xml:space="preserve">Garden D3 market share (high)</t>
  </si>
  <si>
    <t xml:space="preserve">Same</t>
  </si>
  <si>
    <t xml:space="preserve">Implied 2025 market, USD m (high end, at 30%)</t>
  </si>
  <si>
    <t xml:space="preserve">USD m</t>
  </si>
  <si>
    <t xml:space="preserve">Calculation</t>
  </si>
  <si>
    <t xml:space="preserve">Implied 2025 market, USD m (low end, at 40%)</t>
  </si>
  <si>
    <t xml:space="preserve">Model 2025 value (feed + human), USD m</t>
  </si>
  <si>
    <t xml:space="preserve">Model row 22</t>
  </si>
  <si>
    <t xml:space="preserve">Garden 2022: implied market</t>
  </si>
  <si>
    <t xml:space="preserve">Garden D3 and analogues revenue 2022</t>
  </si>
  <si>
    <t xml:space="preserve">Lianhe Ratings, Garden convertible bond tracking rating report</t>
  </si>
  <si>
    <t xml:space="preserve">https://www.lhratings.com/reports/B0648-P66511-2022-GZ2024.pdf</t>
  </si>
  <si>
    <t xml:space="preserve">Credit rating report</t>
  </si>
  <si>
    <t xml:space="preserve">Implied 2022 market at 30% share, USD m (RMB 6.7/USD)</t>
  </si>
  <si>
    <t xml:space="preserve">Calculation (Inputs FX 2022)</t>
  </si>
  <si>
    <t xml:space="preserve">Model 2022 value, USD m</t>
  </si>
  <si>
    <t xml:space="preserve">Fermenta FY26: human 'as-sold' market</t>
  </si>
  <si>
    <t xml:space="preserve">Fermenta human-nutrition D3 revenue FY26</t>
  </si>
  <si>
    <t xml:space="preserve">INR cr</t>
  </si>
  <si>
    <t xml:space="preserve">Fermenta Annual Report 2025-26, MD&amp;A p.14</t>
  </si>
  <si>
    <t xml:space="preserve">Fermenta share of human D3 (claim)</t>
  </si>
  <si>
    <t xml:space="preserve">BP Equities initiation (broker), Mar 2021: ~25% of human-grade D3 API</t>
  </si>
  <si>
    <t xml:space="preserve">Broker research (management claim)</t>
  </si>
  <si>
    <t xml:space="preserve">Implied human market, as-sold, USD m</t>
  </si>
  <si>
    <t xml:space="preserve">Calculation (INR cr x 10 = INR m)</t>
  </si>
  <si>
    <t xml:space="preserve">Model human value 2025, API-equivalent, USD m</t>
  </si>
  <si>
    <t xml:space="preserve">Model row 21</t>
  </si>
  <si>
    <t xml:space="preserve">Feed inclusion sanity check (2020)</t>
  </si>
  <si>
    <t xml:space="preserve">Global feed 2020, Mt</t>
  </si>
  <si>
    <t xml:space="preserve">Mt</t>
  </si>
  <si>
    <t xml:space="preserve">Alltech 2021 Agri-Food Outlook</t>
  </si>
  <si>
    <t xml:space="preserve">Link</t>
  </si>
  <si>
    <t xml:space="preserve">Implied average D3 inclusion, g D3-500 per t feed</t>
  </si>
  <si>
    <t xml:space="preserve">g/t</t>
  </si>
  <si>
    <t xml:space="preserve">Feed volume t x 1e6 g ÷ feed Mt x 1e6 t</t>
  </si>
  <si>
    <t xml:space="preserve">Implied average D3 inclusion, IU/kg feed</t>
  </si>
  <si>
    <t xml:space="preserve">IU/kg</t>
  </si>
  <si>
    <t xml:space="preserve">g/t x 500,000 IU/g ÷ 1,000 kg</t>
  </si>
  <si>
    <t xml:space="preserve">Reading: revenue/share checks run above the API-equivalent model because producer revenue includes formulated forms, 25-OH-D3 and food grades sold at higher per-IU prices. Treat the model as a floor for an API-level pool.</t>
  </si>
  <si>
    <t xml:space="preserve">Official trade data (country-level proxies, not global consumption)</t>
  </si>
  <si>
    <t xml:space="preserve">Series</t>
  </si>
  <si>
    <t xml:space="preserve">Period</t>
  </si>
  <si>
    <t xml:space="preserve">Value, USD m</t>
  </si>
  <si>
    <t xml:space="preserve">Volume, kg</t>
  </si>
  <si>
    <t xml:space="preserve">Unit value, USD/kg</t>
  </si>
  <si>
    <t xml:space="preserve">Authority</t>
  </si>
  <si>
    <t xml:space="preserve">Code</t>
  </si>
  <si>
    <t xml:space="preserve">URL / query</t>
  </si>
  <si>
    <t xml:space="preserve">India imports, Vitamin D</t>
  </si>
  <si>
    <t xml:space="preserve">CY2020</t>
  </si>
  <si>
    <t xml:space="preserve">DGCI&amp;S / Ministry of Commerce (tradestat)</t>
  </si>
  <si>
    <t xml:space="preserve">ITC-HS 29362940</t>
  </si>
  <si>
    <t xml:space="preserve">https://tradestat.commerce.gov.in/meidb/commodity_wise_all_countries_import</t>
  </si>
  <si>
    <t xml:space="preserve">CY2022</t>
  </si>
  <si>
    <t xml:space="preserve">CY2025</t>
  </si>
  <si>
    <t xml:space="preserve">India exports, Vitamin D</t>
  </si>
  <si>
    <t xml:space="preserve">https://tradestat.commerce.gov.in/meidb/commodity_wise_all_countries_export</t>
  </si>
  <si>
    <t xml:space="preserve">Brazil imports, Vitamin D3 unmixed</t>
  </si>
  <si>
    <t xml:space="preserve">SECEX/MDIC Comex Stat</t>
  </si>
  <si>
    <t xml:space="preserve">NCM 29362921</t>
  </si>
  <si>
    <t xml:space="preserve">https://comexstat.mdic.gov.br/en/geral</t>
  </si>
  <si>
    <t xml:space="preserve">Jan-Sep 2026</t>
  </si>
  <si>
    <t xml:space="preserve">Pulled 21 Oct 2026. India's code also covers D2 and analogue APIs (distorts unit values); Brazil's code is straight D3 only, so D3 inside premixes/AD3 is excluded. Volumes swing with sourcing and stock-building, so use these for price direction, not global volume.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</si>
</sst>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#,##0.0"/>
    <numFmt numFmtId="167" formatCode="@"/>
    <numFmt numFmtId="168" formatCode="0%"/>
    <numFmt numFmtId="169" formatCode="0.00"/>
    <numFmt numFmtId="170" formatCode="0.0%"/>
    <numFmt numFmtId="171" formatCode="0.00%"/>
    <numFmt numFmtId="172" formatCode="0.0000"/>
    <numFmt numFmtId="173" formatCode="0.000"/>
    <numFmt numFmtId="174" formatCode="0.0%;\(0.0%\);\-"/>
    <numFmt numFmtId="175" formatCode="0.0\x"/>
    <numFmt numFmtId="176" formatCode="0%;\(0%\);\-"/>
    <numFmt numFmtId="177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595959"/>
      <name val="WenQuanYi Zen Hei"/>
      <family val="2"/>
    </font>
    <font>
      <u val="single"/>
      <sz val="9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static.cninfo.com.cn/finalpage/2023-03-02/1216024789.PDF" TargetMode="External"/><Relationship Id="rId2" Type="http://schemas.openxmlformats.org/officeDocument/2006/relationships/hyperlink" Target="http://static.cninfo.com.cn/finalpage/2026-08-15/1225473446.PDF" TargetMode="External"/><Relationship Id="rId3" Type="http://schemas.openxmlformats.org/officeDocument/2006/relationships/hyperlink" Target="https://fefac.eu/wp-content/uploads/2025/11/Fact-sheet-vulnerability-PUBLIC_rev20251118.pdf" TargetMode="External"/><Relationship Id="rId4" Type="http://schemas.openxmlformats.org/officeDocument/2006/relationships/hyperlink" Target="https://www.3tres3.com/en/print/22631" TargetMode="External"/><Relationship Id="rId5" Type="http://schemas.openxmlformats.org/officeDocument/2006/relationships/hyperlink" Target="https://www.careratings.com/upload/CompanyFiles/PR/202311131111_Fermenta_Biotech_Limited.pdf" TargetMode="External"/><Relationship Id="rId6" Type="http://schemas.openxmlformats.org/officeDocument/2006/relationships/hyperlink" Target="https://fermentabiotech.com/wp-content/uploads/2026/09/Annual-Report-2025-26-1.pdf" TargetMode="External"/><Relationship Id="rId7" Type="http://schemas.openxmlformats.org/officeDocument/2006/relationships/hyperlink" Target="https://fermentabiotech.com/wp-content/uploads/2026/09/Investor-PresentationQ1FY27.pdf" TargetMode="External"/><Relationship Id="rId8" Type="http://schemas.openxmlformats.org/officeDocument/2006/relationships/hyperlink" Target="https://www.bseindia.com/xml-data/corpfiling/AttachHis/33107246-301d-4469-922a-4a7d52f54130.pdf" TargetMode="External"/><Relationship Id="rId9" Type="http://schemas.openxmlformats.org/officeDocument/2006/relationships/hyperlink" Target="https://www.bseindia.com/xml-data/corpfiling/AttachHis/3eda258d-3e05-4203-9491-0bf011255523.pdf" TargetMode="External"/><Relationship Id="rId10" Type="http://schemas.openxmlformats.org/officeDocument/2006/relationships/hyperlink" Target="https://www.dsm-firmenich.com/anh/en_NA/news/articles/vitamin-market-outlook-q4-2025.html" TargetMode="External"/><Relationship Id="rId11" Type="http://schemas.openxmlformats.org/officeDocument/2006/relationships/hyperlink" Target="https://www.dsm-firmenich.com/anh/en_NA/news/articles/vitamin-market-update-q4-2026.html" TargetMode="External"/><Relationship Id="rId12" Type="http://schemas.openxmlformats.org/officeDocument/2006/relationships/hyperlink" Target="https://www.bseindia.com/xml-data/corpfiling/AttachHis/23445550-d343-4c2e-98b8-ed6d83f24557.pdf" TargetMode="External"/><Relationship Id="rId13" Type="http://schemas.openxmlformats.org/officeDocument/2006/relationships/hyperlink" Target="https://tradestat.commerce.gov.in/eidb/commodity_wise_all_countries_export" TargetMode="External"/><Relationship Id="rId14" Type="http://schemas.openxmlformats.org/officeDocument/2006/relationships/hyperlink" Target="https://tradestat.commerce.gov.in/eidb/commodity_wise_all_countries_export" TargetMode="External"/><Relationship Id="rId15" Type="http://schemas.openxmlformats.org/officeDocument/2006/relationships/hyperlink" Target="https://www.careratings.com/upload/CompanyFiles/PR/202311131111_Fermenta_Biotech_Limited.pdf" TargetMode="External"/><Relationship Id="rId16" Type="http://schemas.openxmlformats.org/officeDocument/2006/relationships/hyperlink" Target="https://www.afia.org/pub/?id=c9faec10-dada-d077-7081-0e9bd8e1bcee" TargetMode="External"/><Relationship Id="rId17" Type="http://schemas.openxmlformats.org/officeDocument/2006/relationships/hyperlink" Target="https://www.afia.org/pub/?id=c9faec10-dada-d077-7081-0e9bd8e1bcee" TargetMode="External"/><Relationship Id="rId18" Type="http://schemas.openxmlformats.org/officeDocument/2006/relationships/hyperlink" Target="https://www.afia.org/pub/?id=c9faec10-dada-d077-7081-0e9bd8e1bcee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agnavigator.com/Article/2021/01/26/china-back-on-top-in-global-feed-production-ranking/" TargetMode="External"/><Relationship Id="rId2" Type="http://schemas.openxmlformats.org/officeDocument/2006/relationships/hyperlink" Target="https://www.provisioneronline.com/articles/112062-2022-alltech-agri-food-outlook-reveals-global-feed-production-survey-data-and-trends-shaping-the-future" TargetMode="External"/><Relationship Id="rId3" Type="http://schemas.openxmlformats.org/officeDocument/2006/relationships/hyperlink" Target="https://www.poultryproducer.com/?p=17574" TargetMode="External"/><Relationship Id="rId4" Type="http://schemas.openxmlformats.org/officeDocument/2006/relationships/hyperlink" Target="https://millingmea.com/global-feed-production-remains-steady-despite-challenges-alltech-agri-food-outlook-2024/" TargetMode="External"/><Relationship Id="rId5" Type="http://schemas.openxmlformats.org/officeDocument/2006/relationships/hyperlink" Target="https://www.alltech.com/press-release/2025-alltech-agri-food-outlook-shares-global-feed-production-survey-data" TargetMode="External"/><Relationship Id="rId6" Type="http://schemas.openxmlformats.org/officeDocument/2006/relationships/hyperlink" Target="https://www.alltech.com/press-release/2026-alltech-agri-food-outlook-shares-global-feed-production-survey-data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static.cninfo.com.cn/finalpage/2023-03-02/1216024789.PDF" TargetMode="External"/><Relationship Id="rId2" Type="http://schemas.openxmlformats.org/officeDocument/2006/relationships/hyperlink" Target="http://static.cninfo.com.cn/finalpage/2023-03-02/1216024789.PDF" TargetMode="External"/><Relationship Id="rId3" Type="http://schemas.openxmlformats.org/officeDocument/2006/relationships/hyperlink" Target="https://www.echemi.com/cms/114560.html" TargetMode="External"/><Relationship Id="rId4" Type="http://schemas.openxmlformats.org/officeDocument/2006/relationships/hyperlink" Target="https://www.bseindia.com/xml-data/corpfiling/AttachHis/9e5e419e-6095-47a2-a06e-bf49cfe9a712.pdf" TargetMode="External"/><Relationship Id="rId5" Type="http://schemas.openxmlformats.org/officeDocument/2006/relationships/hyperlink" Target="https://doi.org/10.1021/acs.oprd.4c00333" TargetMode="External"/><Relationship Id="rId6" Type="http://schemas.openxmlformats.org/officeDocument/2006/relationships/hyperlink" Target="https://www.afia.org/pub/?id=c9faec10-dada-d077-7081-0e9bd8e1bcee" TargetMode="External"/><Relationship Id="rId7" Type="http://schemas.openxmlformats.org/officeDocument/2006/relationships/hyperlink" Target="http://static.cninfo.com.cn/finalpage/2023-03-02/1216024789.PDF" TargetMode="External"/><Relationship Id="rId8" Type="http://schemas.openxmlformats.org/officeDocument/2006/relationships/hyperlink" Target="https://s3.ap-south-1.amazonaws.com/bpwealth-cdn/pdf/1618577883-BP%20Equities_%20Fermenta%20Biotech%20Ltd._Initiating%20Coverage_BUY_Trgt%20402.pdf" TargetMode="External"/><Relationship Id="rId9" Type="http://schemas.openxmlformats.org/officeDocument/2006/relationships/hyperlink" Target="https://ipsnews.net/business/?p=62618" TargetMode="External"/><Relationship Id="rId10" Type="http://schemas.openxmlformats.org/officeDocument/2006/relationships/hyperlink" Target="https://www.marketsandmarkets.com/PressReleases/vitamin-d.asp" TargetMode="External"/><Relationship Id="rId11" Type="http://schemas.openxmlformats.org/officeDocument/2006/relationships/hyperlink" Target="http://publications.europa.eu/resource/celex/32003D0002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static.cninfo.com.cn/finalpage/2026-04-18/1225116031.PDF" TargetMode="External"/><Relationship Id="rId2" Type="http://schemas.openxmlformats.org/officeDocument/2006/relationships/hyperlink" Target="http://static.cninfo.com.cn/finalpage/2025-04-07/1223021870.PDF" TargetMode="External"/><Relationship Id="rId3" Type="http://schemas.openxmlformats.org/officeDocument/2006/relationships/hyperlink" Target="http://static.cninfo.com.cn/finalpage/2025-04-07/1223021870.PDF" TargetMode="External"/><Relationship Id="rId4" Type="http://schemas.openxmlformats.org/officeDocument/2006/relationships/hyperlink" Target="https://www.lhratings.com/reports/B0648-P66511-2022-GZ2024.pdf" TargetMode="External"/><Relationship Id="rId5" Type="http://schemas.openxmlformats.org/officeDocument/2006/relationships/hyperlink" Target="https://fermentabiotech.com/wp-content/uploads/2026/09/Annual-Report-2025-26-1.pdf" TargetMode="External"/><Relationship Id="rId6" Type="http://schemas.openxmlformats.org/officeDocument/2006/relationships/hyperlink" Target="https://s3.ap-south-1.amazonaws.com/bpwealth-cdn/pdf/1618577883-BP%20Equities_%20Fermenta%20Biotech%20Ltd._Initiating%20Coverage_BUY_Trgt%20402.pdf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tradestat.commerce.gov.in/meidb/commodity_wise_all_countries_import" TargetMode="External"/><Relationship Id="rId2" Type="http://schemas.openxmlformats.org/officeDocument/2006/relationships/hyperlink" Target="https://tradestat.commerce.gov.in/meidb/commodity_wise_all_countries_import" TargetMode="External"/><Relationship Id="rId3" Type="http://schemas.openxmlformats.org/officeDocument/2006/relationships/hyperlink" Target="https://tradestat.commerce.gov.in/meidb/commodity_wise_all_countries_import" TargetMode="External"/><Relationship Id="rId4" Type="http://schemas.openxmlformats.org/officeDocument/2006/relationships/hyperlink" Target="https://tradestat.commerce.gov.in/meidb/commodity_wise_all_countries_export" TargetMode="External"/><Relationship Id="rId5" Type="http://schemas.openxmlformats.org/officeDocument/2006/relationships/hyperlink" Target="https://tradestat.commerce.gov.in/meidb/commodity_wise_all_countries_export" TargetMode="External"/><Relationship Id="rId6" Type="http://schemas.openxmlformats.org/officeDocument/2006/relationships/hyperlink" Target="https://tradestat.commerce.gov.in/meidb/commodity_wise_all_countries_export" TargetMode="External"/><Relationship Id="rId7" Type="http://schemas.openxmlformats.org/officeDocument/2006/relationships/hyperlink" Target="https://comexstat.mdic.gov.br/en/geral" TargetMode="External"/><Relationship Id="rId8" Type="http://schemas.openxmlformats.org/officeDocument/2006/relationships/hyperlink" Target="https://comexstat.mdic.gov.br/en/geral" TargetMode="External"/><Relationship Id="rId9" Type="http://schemas.openxmlformats.org/officeDocument/2006/relationships/hyperlink" Target="https://comexstat.mdic.gov.br/en/geral" TargetMode="External"/><Relationship Id="rId10" Type="http://schemas.openxmlformats.org/officeDocument/2006/relationships/hyperlink" Target="https://comexstat.mdic.gov.br/en/gera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35.05" hidden="false" customHeight="false" outlineLevel="0" collapsed="false">
      <c r="A5" s="2" t="s">
        <v>5</v>
      </c>
      <c r="B5" s="3" t="s">
        <v>6</v>
      </c>
    </row>
    <row r="6" customFormat="false" ht="23.85" hidden="false" customHeight="false" outlineLevel="0" collapsed="false">
      <c r="A6" s="2" t="s">
        <v>7</v>
      </c>
      <c r="B6" s="3" t="s">
        <v>8</v>
      </c>
    </row>
    <row r="7" customFormat="false" ht="23.8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23.85" hidden="false" customHeight="false" outlineLevel="0" collapsed="false">
      <c r="A9" s="2" t="s">
        <v>13</v>
      </c>
      <c r="B9" s="3" t="s">
        <v>14</v>
      </c>
    </row>
    <row r="10" customFormat="false" ht="35.05" hidden="false" customHeight="false" outlineLevel="0" collapsed="false">
      <c r="A10" s="2" t="s">
        <v>15</v>
      </c>
      <c r="B10" s="3" t="s">
        <v>16</v>
      </c>
    </row>
    <row r="12" customFormat="false" ht="15" hidden="false" customHeight="false" outlineLevel="0" collapsed="false">
      <c r="A12" s="2" t="s">
        <v>17</v>
      </c>
    </row>
    <row r="13" customFormat="false" ht="15" hidden="false" customHeight="false" outlineLevel="0" collapsed="false">
      <c r="A13" s="4" t="s">
        <v>18</v>
      </c>
      <c r="B13" s="5" t="n">
        <f aca="false">Model!E9</f>
        <v>6820.64722847004</v>
      </c>
    </row>
    <row r="14" customFormat="false" ht="15" hidden="false" customHeight="false" outlineLevel="0" collapsed="false">
      <c r="A14" s="4" t="s">
        <v>19</v>
      </c>
      <c r="B14" s="6" t="n">
        <f aca="false">Model!E10</f>
        <v>85.2580903558755</v>
      </c>
    </row>
    <row r="15" customFormat="false" ht="15" hidden="false" customHeight="false" outlineLevel="0" collapsed="false">
      <c r="A15" s="4" t="s">
        <v>20</v>
      </c>
      <c r="B15" s="5" t="n">
        <f aca="false">Model!E22</f>
        <v>156.530466797871</v>
      </c>
    </row>
    <row r="16" customFormat="false" ht="15" hidden="false" customHeight="false" outlineLevel="0" collapsed="false">
      <c r="A16" s="4" t="s">
        <v>21</v>
      </c>
      <c r="B16" s="7" t="str">
        <f aca="false">TEXT(Model!E24,"#,##0")&amp;" - "&amp;TEXT(Model!E25,"#,##0")</f>
        <v>122 - 194</v>
      </c>
    </row>
    <row r="17" customFormat="false" ht="15" hidden="false" customHeight="false" outlineLevel="0" collapsed="false">
      <c r="A17" s="4" t="s">
        <v>22</v>
      </c>
      <c r="B17" s="8" t="n">
        <f aca="false">Model!E23</f>
        <v>0.722198649952589</v>
      </c>
    </row>
    <row r="18" customFormat="false" ht="15" hidden="false" customHeight="false" outlineLevel="0" collapsed="false">
      <c r="A18" s="4" t="s">
        <v>23</v>
      </c>
      <c r="B18" s="5" t="n">
        <f aca="false">Model!D22</f>
        <v>212.443111513341</v>
      </c>
    </row>
    <row r="19" customFormat="false" ht="15" hidden="false" customHeight="false" outlineLevel="0" collapsed="false">
      <c r="A19" s="4" t="s">
        <v>24</v>
      </c>
      <c r="B19" s="7" t="str">
        <f aca="false">TEXT(Model!B51,"#,##0")&amp;" / "&amp;TEXT(Model!C51,"#,##0")</f>
        <v>94 / 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11"/>
    <col collapsed="false" customWidth="true" hidden="false" outlineLevel="0" max="5" min="4" style="0" width="10"/>
    <col collapsed="false" customWidth="true" hidden="false" outlineLevel="0" max="6" min="6" style="0" width="16"/>
    <col collapsed="false" customWidth="true" hidden="false" outlineLevel="0" max="7" min="7" style="0" width="52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40"/>
    <col collapsed="false" customWidth="true" hidden="false" outlineLevel="0" max="11" min="11" style="0" width="20"/>
    <col collapsed="false" customWidth="true" hidden="false" outlineLevel="0" max="12" min="12" style="0" width="46"/>
  </cols>
  <sheetData>
    <row r="1" customFormat="false" ht="17.35" hidden="false" customHeight="false" outlineLevel="0" collapsed="false">
      <c r="A1" s="1" t="s">
        <v>25</v>
      </c>
    </row>
    <row r="3" customFormat="false" ht="15" hidden="false" customHeight="false" outlineLevel="0" collapsed="false">
      <c r="A3" s="9" t="s">
        <v>26</v>
      </c>
      <c r="B3" s="9" t="s">
        <v>27</v>
      </c>
      <c r="C3" s="9" t="s">
        <v>28</v>
      </c>
      <c r="D3" s="9" t="s">
        <v>29</v>
      </c>
      <c r="E3" s="9" t="s">
        <v>30</v>
      </c>
      <c r="F3" s="9" t="s">
        <v>31</v>
      </c>
      <c r="G3" s="9" t="s">
        <v>32</v>
      </c>
      <c r="H3" s="9" t="s">
        <v>33</v>
      </c>
      <c r="I3" s="9" t="s">
        <v>34</v>
      </c>
      <c r="J3" s="9" t="s">
        <v>35</v>
      </c>
      <c r="K3" s="9" t="s">
        <v>36</v>
      </c>
      <c r="L3" s="9" t="s">
        <v>37</v>
      </c>
    </row>
    <row r="4" customFormat="false" ht="47.75" hidden="false" customHeight="false" outlineLevel="0" collapsed="false">
      <c r="A4" s="4" t="s">
        <v>38</v>
      </c>
      <c r="B4" s="2" t="s">
        <v>39</v>
      </c>
      <c r="C4" s="10" t="n">
        <v>6250</v>
      </c>
      <c r="D4" s="11" t="n">
        <v>6000</v>
      </c>
      <c r="E4" s="11" t="n">
        <v>6500</v>
      </c>
      <c r="F4" s="3" t="s">
        <v>40</v>
      </c>
      <c r="G4" s="12" t="s">
        <v>41</v>
      </c>
      <c r="H4" s="3" t="s">
        <v>42</v>
      </c>
      <c r="I4" s="3" t="s">
        <v>43</v>
      </c>
      <c r="J4" s="13" t="s">
        <v>44</v>
      </c>
      <c r="K4" s="3" t="s">
        <v>45</v>
      </c>
      <c r="L4" s="12" t="s">
        <v>46</v>
      </c>
    </row>
    <row r="5" customFormat="false" ht="22.35" hidden="false" customHeight="false" outlineLevel="0" collapsed="false">
      <c r="A5" s="4" t="s">
        <v>47</v>
      </c>
      <c r="B5" s="4" t="s">
        <v>48</v>
      </c>
      <c r="C5" s="14" t="n">
        <v>80</v>
      </c>
      <c r="D5" s="14"/>
      <c r="E5" s="14"/>
      <c r="F5" s="3" t="s">
        <v>49</v>
      </c>
      <c r="G5" s="12" t="s">
        <v>50</v>
      </c>
      <c r="H5" s="3" t="s">
        <v>51</v>
      </c>
      <c r="I5" s="3" t="s">
        <v>52</v>
      </c>
      <c r="J5" s="13" t="s">
        <v>53</v>
      </c>
      <c r="K5" s="3" t="s">
        <v>54</v>
      </c>
      <c r="L5" s="12"/>
    </row>
    <row r="6" customFormat="false" ht="43.25" hidden="false" customHeight="false" outlineLevel="0" collapsed="false">
      <c r="A6" s="4" t="s">
        <v>55</v>
      </c>
      <c r="B6" s="2" t="s">
        <v>56</v>
      </c>
      <c r="C6" s="15" t="n">
        <v>0.2</v>
      </c>
      <c r="D6" s="16" t="n">
        <v>0.11</v>
      </c>
      <c r="E6" s="16" t="n">
        <v>0.3</v>
      </c>
      <c r="F6" s="3" t="s">
        <v>57</v>
      </c>
      <c r="G6" s="12" t="s">
        <v>58</v>
      </c>
      <c r="H6" s="3" t="s">
        <v>59</v>
      </c>
      <c r="I6" s="3" t="s">
        <v>60</v>
      </c>
      <c r="J6" s="13" t="s">
        <v>61</v>
      </c>
      <c r="K6" s="3" t="s">
        <v>62</v>
      </c>
      <c r="L6" s="12" t="s">
        <v>63</v>
      </c>
    </row>
    <row r="7" customFormat="false" ht="32.8" hidden="false" customHeight="false" outlineLevel="0" collapsed="false">
      <c r="A7" s="4" t="s">
        <v>64</v>
      </c>
      <c r="B7" s="2" t="s">
        <v>65</v>
      </c>
      <c r="C7" s="15" t="n">
        <v>0.015</v>
      </c>
      <c r="D7" s="16" t="n">
        <v>0.01</v>
      </c>
      <c r="E7" s="16" t="n">
        <v>0.02</v>
      </c>
      <c r="F7" s="3" t="s">
        <v>66</v>
      </c>
      <c r="G7" s="12" t="s">
        <v>67</v>
      </c>
      <c r="H7" s="3" t="s">
        <v>68</v>
      </c>
      <c r="I7" s="3"/>
      <c r="J7" s="13" t="s">
        <v>69</v>
      </c>
      <c r="K7" s="3" t="s">
        <v>70</v>
      </c>
      <c r="L7" s="12" t="s">
        <v>71</v>
      </c>
    </row>
    <row r="8" customFormat="false" ht="32.8" hidden="false" customHeight="false" outlineLevel="0" collapsed="false">
      <c r="A8" s="4" t="s">
        <v>72</v>
      </c>
      <c r="B8" s="4" t="s">
        <v>73</v>
      </c>
      <c r="C8" s="14" t="n">
        <v>0.95</v>
      </c>
      <c r="D8" s="14" t="n">
        <v>0.9</v>
      </c>
      <c r="E8" s="14" t="n">
        <v>1</v>
      </c>
      <c r="F8" s="3" t="s">
        <v>74</v>
      </c>
      <c r="G8" s="12" t="s">
        <v>75</v>
      </c>
      <c r="H8" s="3" t="s">
        <v>76</v>
      </c>
      <c r="I8" s="3"/>
      <c r="J8" s="13" t="s">
        <v>77</v>
      </c>
      <c r="K8" s="3" t="s">
        <v>78</v>
      </c>
      <c r="L8" s="12" t="s">
        <v>79</v>
      </c>
    </row>
    <row r="9" customFormat="false" ht="32.8" hidden="false" customHeight="false" outlineLevel="0" collapsed="false">
      <c r="A9" s="4" t="s">
        <v>80</v>
      </c>
      <c r="B9" s="4" t="s">
        <v>81</v>
      </c>
      <c r="C9" s="14" t="n">
        <v>1.13</v>
      </c>
      <c r="D9" s="14" t="n">
        <v>1.05</v>
      </c>
      <c r="E9" s="14" t="n">
        <v>1.2</v>
      </c>
      <c r="F9" s="3" t="s">
        <v>74</v>
      </c>
      <c r="G9" s="12" t="s">
        <v>82</v>
      </c>
      <c r="H9" s="3" t="s">
        <v>83</v>
      </c>
      <c r="I9" s="3" t="s">
        <v>84</v>
      </c>
      <c r="J9" s="13" t="s">
        <v>85</v>
      </c>
      <c r="K9" s="3" t="s">
        <v>78</v>
      </c>
      <c r="L9" s="12"/>
    </row>
    <row r="10" customFormat="false" ht="32.8" hidden="false" customHeight="false" outlineLevel="0" collapsed="false">
      <c r="A10" s="4" t="s">
        <v>86</v>
      </c>
      <c r="B10" s="2" t="s">
        <v>87</v>
      </c>
      <c r="C10" s="17" t="n">
        <v>1.15</v>
      </c>
      <c r="D10" s="14" t="n">
        <v>1.05</v>
      </c>
      <c r="E10" s="14" t="n">
        <v>1.28</v>
      </c>
      <c r="F10" s="3" t="s">
        <v>74</v>
      </c>
      <c r="G10" s="12" t="s">
        <v>88</v>
      </c>
      <c r="H10" s="3" t="s">
        <v>89</v>
      </c>
      <c r="I10" s="3"/>
      <c r="J10" s="13" t="s">
        <v>90</v>
      </c>
      <c r="K10" s="3" t="s">
        <v>78</v>
      </c>
      <c r="L10" s="12"/>
    </row>
    <row r="11" customFormat="false" ht="32.8" hidden="false" customHeight="false" outlineLevel="0" collapsed="false">
      <c r="A11" s="4" t="s">
        <v>91</v>
      </c>
      <c r="B11" s="2" t="s">
        <v>92</v>
      </c>
      <c r="C11" s="10" t="n">
        <v>26</v>
      </c>
      <c r="D11" s="11" t="n">
        <v>23</v>
      </c>
      <c r="E11" s="11" t="n">
        <v>30</v>
      </c>
      <c r="F11" s="3" t="s">
        <v>93</v>
      </c>
      <c r="G11" s="12" t="s">
        <v>94</v>
      </c>
      <c r="H11" s="3" t="s">
        <v>95</v>
      </c>
      <c r="I11" s="3" t="s">
        <v>96</v>
      </c>
      <c r="J11" s="13" t="s">
        <v>97</v>
      </c>
      <c r="K11" s="3" t="s">
        <v>98</v>
      </c>
      <c r="L11" s="12" t="s">
        <v>99</v>
      </c>
    </row>
    <row r="12" customFormat="false" ht="35.05" hidden="false" customHeight="false" outlineLevel="0" collapsed="false">
      <c r="A12" s="4" t="s">
        <v>100</v>
      </c>
      <c r="B12" s="4" t="s">
        <v>101</v>
      </c>
      <c r="C12" s="18" t="n">
        <v>11.5</v>
      </c>
      <c r="D12" s="11" t="n">
        <v>10</v>
      </c>
      <c r="E12" s="11" t="n">
        <v>13</v>
      </c>
      <c r="F12" s="3" t="s">
        <v>93</v>
      </c>
      <c r="G12" s="12" t="s">
        <v>102</v>
      </c>
      <c r="H12" s="3" t="s">
        <v>103</v>
      </c>
      <c r="I12" s="3" t="s">
        <v>104</v>
      </c>
      <c r="J12" s="13" t="s">
        <v>105</v>
      </c>
      <c r="K12" s="3" t="s">
        <v>106</v>
      </c>
      <c r="L12" s="12" t="s">
        <v>107</v>
      </c>
    </row>
    <row r="13" customFormat="false" ht="43.25" hidden="false" customHeight="false" outlineLevel="0" collapsed="false">
      <c r="A13" s="4" t="s">
        <v>108</v>
      </c>
      <c r="B13" s="4" t="s">
        <v>109</v>
      </c>
      <c r="C13" s="11" t="n">
        <v>32</v>
      </c>
      <c r="D13" s="11" t="n">
        <v>27</v>
      </c>
      <c r="E13" s="11" t="n">
        <v>40</v>
      </c>
      <c r="F13" s="3" t="s">
        <v>93</v>
      </c>
      <c r="G13" s="12" t="s">
        <v>110</v>
      </c>
      <c r="H13" s="3" t="s">
        <v>111</v>
      </c>
      <c r="I13" s="3"/>
      <c r="J13" s="13" t="s">
        <v>112</v>
      </c>
      <c r="K13" s="3" t="s">
        <v>113</v>
      </c>
      <c r="L13" s="12"/>
    </row>
    <row r="14" customFormat="false" ht="35.05" hidden="false" customHeight="false" outlineLevel="0" collapsed="false">
      <c r="A14" s="4" t="s">
        <v>114</v>
      </c>
      <c r="B14" s="2" t="s">
        <v>115</v>
      </c>
      <c r="C14" s="10" t="n">
        <v>21</v>
      </c>
      <c r="D14" s="11" t="n">
        <v>17</v>
      </c>
      <c r="E14" s="11" t="n">
        <v>25</v>
      </c>
      <c r="F14" s="3" t="s">
        <v>93</v>
      </c>
      <c r="G14" s="12" t="s">
        <v>116</v>
      </c>
      <c r="H14" s="3" t="s">
        <v>117</v>
      </c>
      <c r="I14" s="3"/>
      <c r="J14" s="13" t="s">
        <v>118</v>
      </c>
      <c r="K14" s="3" t="s">
        <v>119</v>
      </c>
      <c r="L14" s="12" t="s">
        <v>120</v>
      </c>
    </row>
    <row r="15" customFormat="false" ht="32.8" hidden="false" customHeight="false" outlineLevel="0" collapsed="false">
      <c r="A15" s="4" t="s">
        <v>121</v>
      </c>
      <c r="B15" s="4" t="s">
        <v>122</v>
      </c>
      <c r="C15" s="11" t="n">
        <v>2200</v>
      </c>
      <c r="D15" s="11" t="n">
        <v>1600</v>
      </c>
      <c r="E15" s="11" t="n">
        <v>3300</v>
      </c>
      <c r="F15" s="3" t="s">
        <v>123</v>
      </c>
      <c r="G15" s="12" t="s">
        <v>124</v>
      </c>
      <c r="H15" s="3" t="s">
        <v>125</v>
      </c>
      <c r="I15" s="3"/>
      <c r="J15" s="13" t="s">
        <v>126</v>
      </c>
      <c r="K15" s="3" t="s">
        <v>127</v>
      </c>
      <c r="L15" s="12"/>
    </row>
    <row r="16" customFormat="false" ht="23.85" hidden="false" customHeight="false" outlineLevel="0" collapsed="false">
      <c r="A16" s="4" t="s">
        <v>128</v>
      </c>
      <c r="B16" s="4" t="s">
        <v>129</v>
      </c>
      <c r="C16" s="11" t="n">
        <v>2390</v>
      </c>
      <c r="D16" s="11" t="n">
        <v>1700</v>
      </c>
      <c r="E16" s="11" t="n">
        <v>3300</v>
      </c>
      <c r="F16" s="3" t="s">
        <v>123</v>
      </c>
      <c r="G16" s="12" t="s">
        <v>130</v>
      </c>
      <c r="H16" s="3" t="s">
        <v>131</v>
      </c>
      <c r="I16" s="3"/>
      <c r="J16" s="13" t="s">
        <v>132</v>
      </c>
      <c r="K16" s="3" t="s">
        <v>133</v>
      </c>
      <c r="L16" s="12"/>
    </row>
    <row r="17" customFormat="false" ht="32.8" hidden="false" customHeight="false" outlineLevel="0" collapsed="false">
      <c r="A17" s="4" t="s">
        <v>134</v>
      </c>
      <c r="B17" s="4" t="s">
        <v>135</v>
      </c>
      <c r="C17" s="11" t="n">
        <v>2420</v>
      </c>
      <c r="D17" s="11" t="n">
        <v>1700</v>
      </c>
      <c r="E17" s="11" t="n">
        <v>3300</v>
      </c>
      <c r="F17" s="3" t="s">
        <v>123</v>
      </c>
      <c r="G17" s="12" t="s">
        <v>136</v>
      </c>
      <c r="H17" s="3" t="s">
        <v>131</v>
      </c>
      <c r="I17" s="3"/>
      <c r="J17" s="13" t="s">
        <v>132</v>
      </c>
      <c r="K17" s="3" t="s">
        <v>133</v>
      </c>
      <c r="L17" s="12"/>
    </row>
    <row r="18" customFormat="false" ht="15" hidden="false" customHeight="false" outlineLevel="0" collapsed="false">
      <c r="A18" s="4" t="s">
        <v>137</v>
      </c>
      <c r="B18" s="2" t="s">
        <v>138</v>
      </c>
      <c r="C18" s="10" t="n">
        <v>2420</v>
      </c>
      <c r="D18" s="11" t="n">
        <v>1700</v>
      </c>
      <c r="E18" s="11" t="n">
        <v>3300</v>
      </c>
      <c r="F18" s="3" t="s">
        <v>123</v>
      </c>
      <c r="G18" s="12" t="s">
        <v>139</v>
      </c>
      <c r="H18" s="3" t="s">
        <v>83</v>
      </c>
      <c r="I18" s="3"/>
      <c r="J18" s="12"/>
      <c r="K18" s="3" t="s">
        <v>70</v>
      </c>
      <c r="L18" s="12"/>
    </row>
    <row r="19" customFormat="false" ht="53.7" hidden="false" customHeight="false" outlineLevel="0" collapsed="false">
      <c r="A19" s="4" t="s">
        <v>140</v>
      </c>
      <c r="B19" s="4" t="s">
        <v>141</v>
      </c>
      <c r="C19" s="14" t="n">
        <v>0.8</v>
      </c>
      <c r="D19" s="14" t="n">
        <v>0.7</v>
      </c>
      <c r="E19" s="14" t="n">
        <v>0.95</v>
      </c>
      <c r="F19" s="3" t="s">
        <v>74</v>
      </c>
      <c r="G19" s="12" t="s">
        <v>142</v>
      </c>
      <c r="H19" s="3" t="s">
        <v>143</v>
      </c>
      <c r="I19" s="3"/>
      <c r="J19" s="13" t="s">
        <v>77</v>
      </c>
      <c r="K19" s="3" t="s">
        <v>78</v>
      </c>
      <c r="L19" s="12" t="s">
        <v>144</v>
      </c>
    </row>
    <row r="20" customFormat="false" ht="53.7" hidden="false" customHeight="false" outlineLevel="0" collapsed="false">
      <c r="A20" s="4" t="s">
        <v>145</v>
      </c>
      <c r="B20" s="4" t="s">
        <v>146</v>
      </c>
      <c r="C20" s="11" t="n">
        <v>3640</v>
      </c>
      <c r="D20" s="11"/>
      <c r="E20" s="11"/>
      <c r="F20" s="3" t="s">
        <v>147</v>
      </c>
      <c r="G20" s="12" t="s">
        <v>148</v>
      </c>
      <c r="H20" s="3" t="s">
        <v>149</v>
      </c>
      <c r="I20" s="3" t="s">
        <v>150</v>
      </c>
      <c r="J20" s="13" t="s">
        <v>151</v>
      </c>
      <c r="K20" s="3" t="s">
        <v>152</v>
      </c>
      <c r="L20" s="12" t="s">
        <v>153</v>
      </c>
    </row>
    <row r="21" customFormat="false" ht="53.7" hidden="false" customHeight="false" outlineLevel="0" collapsed="false">
      <c r="A21" s="4" t="s">
        <v>154</v>
      </c>
      <c r="B21" s="4" t="s">
        <v>155</v>
      </c>
      <c r="C21" s="11" t="n">
        <v>3755</v>
      </c>
      <c r="D21" s="11"/>
      <c r="E21" s="11"/>
      <c r="F21" s="3" t="s">
        <v>147</v>
      </c>
      <c r="G21" s="12" t="s">
        <v>156</v>
      </c>
      <c r="H21" s="3" t="s">
        <v>149</v>
      </c>
      <c r="I21" s="3" t="s">
        <v>150</v>
      </c>
      <c r="J21" s="13" t="s">
        <v>151</v>
      </c>
      <c r="K21" s="3" t="s">
        <v>152</v>
      </c>
      <c r="L21" s="12"/>
    </row>
    <row r="22" customFormat="false" ht="64.15" hidden="false" customHeight="false" outlineLevel="0" collapsed="false">
      <c r="A22" s="4" t="s">
        <v>157</v>
      </c>
      <c r="B22" s="4" t="s">
        <v>158</v>
      </c>
      <c r="C22" s="11" t="n">
        <v>19000</v>
      </c>
      <c r="D22" s="11"/>
      <c r="E22" s="11"/>
      <c r="F22" s="3" t="s">
        <v>147</v>
      </c>
      <c r="G22" s="12" t="s">
        <v>159</v>
      </c>
      <c r="H22" s="3" t="s">
        <v>149</v>
      </c>
      <c r="I22" s="3" t="s">
        <v>160</v>
      </c>
      <c r="J22" s="13" t="s">
        <v>151</v>
      </c>
      <c r="K22" s="3" t="s">
        <v>152</v>
      </c>
      <c r="L22" s="12" t="s">
        <v>161</v>
      </c>
    </row>
    <row r="23" customFormat="false" ht="22.35" hidden="false" customHeight="false" outlineLevel="0" collapsed="false">
      <c r="A23" s="4" t="s">
        <v>162</v>
      </c>
      <c r="B23" s="2" t="s">
        <v>163</v>
      </c>
      <c r="C23" s="10" t="n">
        <v>500000</v>
      </c>
      <c r="D23" s="11"/>
      <c r="E23" s="11"/>
      <c r="F23" s="3" t="s">
        <v>164</v>
      </c>
      <c r="G23" s="12" t="s">
        <v>165</v>
      </c>
      <c r="H23" s="3"/>
      <c r="I23" s="3"/>
      <c r="J23" s="12"/>
      <c r="K23" s="3" t="s">
        <v>70</v>
      </c>
      <c r="L23" s="12"/>
    </row>
    <row r="24" customFormat="false" ht="15" hidden="false" customHeight="false" outlineLevel="0" collapsed="false">
      <c r="A24" s="4" t="s">
        <v>166</v>
      </c>
      <c r="B24" s="2" t="s">
        <v>167</v>
      </c>
      <c r="C24" s="10" t="n">
        <v>1000000</v>
      </c>
      <c r="D24" s="11"/>
      <c r="E24" s="11"/>
      <c r="F24" s="3" t="s">
        <v>164</v>
      </c>
      <c r="G24" s="12" t="s">
        <v>168</v>
      </c>
      <c r="H24" s="3"/>
      <c r="I24" s="3"/>
      <c r="J24" s="12"/>
      <c r="K24" s="3" t="s">
        <v>70</v>
      </c>
      <c r="L24" s="12"/>
    </row>
    <row r="25" customFormat="false" ht="22.35" hidden="false" customHeight="false" outlineLevel="0" collapsed="false">
      <c r="A25" s="4" t="s">
        <v>169</v>
      </c>
      <c r="B25" s="4" t="s">
        <v>170</v>
      </c>
      <c r="C25" s="10"/>
      <c r="D25" s="11"/>
      <c r="E25" s="11"/>
      <c r="F25" s="3" t="s">
        <v>40</v>
      </c>
      <c r="G25" s="12" t="s">
        <v>171</v>
      </c>
      <c r="H25" s="3"/>
      <c r="I25" s="3"/>
      <c r="J25" s="12"/>
      <c r="K25" s="3" t="s">
        <v>172</v>
      </c>
      <c r="L25" s="12" t="s">
        <v>173</v>
      </c>
    </row>
    <row r="26" customFormat="false" ht="15" hidden="false" customHeight="false" outlineLevel="0" collapsed="false">
      <c r="A26" s="4" t="s">
        <v>174</v>
      </c>
      <c r="B26" s="4" t="s">
        <v>175</v>
      </c>
      <c r="C26" s="18" t="n">
        <v>7.2</v>
      </c>
      <c r="D26" s="11"/>
      <c r="E26" s="11"/>
      <c r="F26" s="3" t="s">
        <v>176</v>
      </c>
      <c r="G26" s="12" t="s">
        <v>177</v>
      </c>
      <c r="H26" s="3"/>
      <c r="I26" s="3"/>
      <c r="J26" s="12"/>
      <c r="K26" s="3" t="s">
        <v>70</v>
      </c>
      <c r="L26" s="12" t="s">
        <v>178</v>
      </c>
    </row>
    <row r="27" customFormat="false" ht="15" hidden="false" customHeight="false" outlineLevel="0" collapsed="false">
      <c r="A27" s="4" t="s">
        <v>179</v>
      </c>
      <c r="B27" s="4" t="s">
        <v>180</v>
      </c>
      <c r="C27" s="18" t="n">
        <v>6.7</v>
      </c>
      <c r="D27" s="11"/>
      <c r="E27" s="11"/>
      <c r="F27" s="3" t="s">
        <v>176</v>
      </c>
      <c r="G27" s="12" t="s">
        <v>181</v>
      </c>
      <c r="H27" s="3"/>
      <c r="I27" s="3"/>
      <c r="J27" s="12"/>
      <c r="K27" s="3" t="s">
        <v>70</v>
      </c>
      <c r="L27" s="12" t="s">
        <v>182</v>
      </c>
    </row>
    <row r="28" customFormat="false" ht="15" hidden="false" customHeight="false" outlineLevel="0" collapsed="false">
      <c r="A28" s="4" t="s">
        <v>183</v>
      </c>
      <c r="B28" s="4" t="s">
        <v>184</v>
      </c>
      <c r="C28" s="11" t="n">
        <v>88</v>
      </c>
      <c r="D28" s="11"/>
      <c r="E28" s="11"/>
      <c r="F28" s="3" t="s">
        <v>185</v>
      </c>
      <c r="G28" s="12" t="s">
        <v>186</v>
      </c>
      <c r="H28" s="3"/>
      <c r="I28" s="3"/>
      <c r="J28" s="12"/>
      <c r="K28" s="3" t="s">
        <v>70</v>
      </c>
      <c r="L28" s="12" t="s">
        <v>178</v>
      </c>
    </row>
  </sheetData>
  <hyperlinks>
    <hyperlink ref="J4" r:id="rId1" display="http://static.cninfo.com.cn/finalpage/2023-03-02/1216024789.PDF"/>
    <hyperlink ref="J5" r:id="rId2" display="http://static.cninfo.com.cn/finalpage/2026-08-15/1225473446.PDF"/>
    <hyperlink ref="J6" r:id="rId3" display="https://fefac.eu/wp-content/uploads/2025/11/Fact-sheet-vulnerability-PUBLIC_rev20251118.pdf"/>
    <hyperlink ref="J7" r:id="rId4" display="https://www.3tres3.com/en/print/22631"/>
    <hyperlink ref="J8" r:id="rId5" display="https://www.careratings.com/upload/CompanyFiles/PR/202311131111_Fermenta_Biotech_Limited.pdf"/>
    <hyperlink ref="J9" r:id="rId6" display="https://fermentabiotech.com/wp-content/uploads/2026/09/Annual-Report-2025-26-1.pdf"/>
    <hyperlink ref="J10" r:id="rId7" display="https://fermentabiotech.com/wp-content/uploads/2026/09/Investor-PresentationQ1FY27.pdf"/>
    <hyperlink ref="J11" r:id="rId8" display="https://www.bseindia.com/xml-data/corpfiling/AttachHis/33107246-301d-4469-922a-4a7d52f54130.pdf"/>
    <hyperlink ref="J12" r:id="rId9" display="https://www.bseindia.com/xml-data/corpfiling/AttachHis/3eda258d-3e05-4203-9491-0bf011255523.pdf"/>
    <hyperlink ref="J13" r:id="rId10" display="https://www.dsm-firmenich.com/anh/en_NA/news/articles/vitamin-market-outlook-q4-2025.html"/>
    <hyperlink ref="J14" r:id="rId11" display="https://www.dsm-firmenich.com/anh/en_NA/news/articles/vitamin-market-update-q4-2026.html"/>
    <hyperlink ref="J15" r:id="rId12" display="https://www.bseindia.com/xml-data/corpfiling/AttachHis/23445550-d343-4c2e-98b8-ed6d83f24557.pdf"/>
    <hyperlink ref="J16" r:id="rId13" display="https://tradestat.commerce.gov.in/eidb/commodity_wise_all_countries_export"/>
    <hyperlink ref="J17" r:id="rId14" display="https://tradestat.commerce.gov.in/eidb/commodity_wise_all_countries_export"/>
    <hyperlink ref="J19" r:id="rId15" display="https://www.careratings.com/upload/CompanyFiles/PR/202311131111_Fermenta_Biotech_Limited.pdf"/>
    <hyperlink ref="J20" r:id="rId16" display="https://www.afia.org/pub/?id=c9faec10-dada-d077-7081-0e9bd8e1bcee"/>
    <hyperlink ref="J21" r:id="rId17" display="https://www.afia.org/pub/?id=c9faec10-dada-d077-7081-0e9bd8e1bcee"/>
    <hyperlink ref="J22" r:id="rId18" display="https://www.afia.org/pub/?id=c9faec10-dada-d077-7081-0e9bd8e1bce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70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187</v>
      </c>
    </row>
    <row r="2" customFormat="false" ht="15" hidden="false" customHeight="false" outlineLevel="0" collapsed="false">
      <c r="A2" s="19" t="s">
        <v>188</v>
      </c>
    </row>
    <row r="4" customFormat="false" ht="23.85" hidden="false" customHeight="false" outlineLevel="0" collapsed="false">
      <c r="A4" s="9" t="s">
        <v>189</v>
      </c>
      <c r="B4" s="9" t="s">
        <v>190</v>
      </c>
      <c r="C4" s="9" t="s">
        <v>191</v>
      </c>
      <c r="D4" s="9" t="s">
        <v>192</v>
      </c>
      <c r="E4" s="9" t="s">
        <v>193</v>
      </c>
      <c r="F4" s="9" t="s">
        <v>194</v>
      </c>
      <c r="G4" s="9" t="s">
        <v>36</v>
      </c>
    </row>
    <row r="5" customFormat="false" ht="15" hidden="false" customHeight="false" outlineLevel="0" collapsed="false">
      <c r="A5" s="4" t="s">
        <v>95</v>
      </c>
      <c r="B5" s="20" t="n">
        <v>1187.7</v>
      </c>
      <c r="C5" s="21" t="n">
        <v>0.01</v>
      </c>
      <c r="D5" s="22" t="n">
        <v>1</v>
      </c>
      <c r="E5" s="4" t="s">
        <v>195</v>
      </c>
      <c r="F5" s="23" t="s">
        <v>196</v>
      </c>
      <c r="G5" s="4" t="s">
        <v>197</v>
      </c>
    </row>
    <row r="6" customFormat="false" ht="15" hidden="false" customHeight="false" outlineLevel="0" collapsed="false">
      <c r="A6" s="4" t="s">
        <v>198</v>
      </c>
      <c r="B6" s="20" t="n">
        <v>1235</v>
      </c>
      <c r="C6" s="21" t="n">
        <v>0.023</v>
      </c>
      <c r="D6" s="24" t="n">
        <f aca="false">D5*(1+C6)</f>
        <v>1.023</v>
      </c>
      <c r="E6" s="4" t="s">
        <v>199</v>
      </c>
      <c r="F6" s="23" t="s">
        <v>200</v>
      </c>
      <c r="G6" s="4" t="s">
        <v>197</v>
      </c>
    </row>
    <row r="7" customFormat="false" ht="15" hidden="false" customHeight="false" outlineLevel="0" collapsed="false">
      <c r="A7" s="4" t="s">
        <v>201</v>
      </c>
      <c r="B7" s="20" t="n">
        <v>1266</v>
      </c>
      <c r="C7" s="21" t="n">
        <v>-0.0042</v>
      </c>
      <c r="D7" s="24" t="n">
        <f aca="false">D6*(1+C7)</f>
        <v>1.0187034</v>
      </c>
      <c r="E7" s="4" t="s">
        <v>202</v>
      </c>
      <c r="F7" s="23" t="s">
        <v>203</v>
      </c>
      <c r="G7" s="4" t="s">
        <v>197</v>
      </c>
    </row>
    <row r="8" customFormat="false" ht="15" hidden="false" customHeight="false" outlineLevel="0" collapsed="false">
      <c r="A8" s="4" t="s">
        <v>204</v>
      </c>
      <c r="B8" s="20" t="n">
        <v>1290</v>
      </c>
      <c r="C8" s="21" t="n">
        <v>-0.0001</v>
      </c>
      <c r="D8" s="24" t="n">
        <f aca="false">D7*(1+C8)</f>
        <v>1.01860152966</v>
      </c>
      <c r="E8" s="4" t="s">
        <v>205</v>
      </c>
      <c r="F8" s="23" t="s">
        <v>206</v>
      </c>
      <c r="G8" s="4" t="s">
        <v>197</v>
      </c>
    </row>
    <row r="9" customFormat="false" ht="15" hidden="false" customHeight="false" outlineLevel="0" collapsed="false">
      <c r="A9" s="4" t="s">
        <v>207</v>
      </c>
      <c r="B9" s="20" t="n">
        <v>1396</v>
      </c>
      <c r="C9" s="21" t="n">
        <v>0.012</v>
      </c>
      <c r="D9" s="24" t="n">
        <f aca="false">D8*(1+C9)</f>
        <v>1.03082474801592</v>
      </c>
      <c r="E9" s="4" t="s">
        <v>208</v>
      </c>
      <c r="F9" s="23" t="s">
        <v>209</v>
      </c>
      <c r="G9" s="4" t="s">
        <v>210</v>
      </c>
    </row>
    <row r="10" customFormat="false" ht="15" hidden="false" customHeight="false" outlineLevel="0" collapsed="false">
      <c r="A10" s="4" t="s">
        <v>211</v>
      </c>
      <c r="B10" s="20" t="n">
        <v>1440</v>
      </c>
      <c r="C10" s="21" t="n">
        <v>0.029</v>
      </c>
      <c r="D10" s="24" t="n">
        <f aca="false">D9*(1+C10)</f>
        <v>1.06071866570838</v>
      </c>
      <c r="E10" s="4" t="s">
        <v>212</v>
      </c>
      <c r="F10" s="23" t="s">
        <v>213</v>
      </c>
      <c r="G10" s="4" t="s">
        <v>210</v>
      </c>
    </row>
    <row r="12" customFormat="false" ht="15" hidden="false" customHeight="false" outlineLevel="0" collapsed="false">
      <c r="A12" s="19" t="s">
        <v>214</v>
      </c>
    </row>
  </sheetData>
  <hyperlinks>
    <hyperlink ref="F5" r:id="rId1" display="https://www.agnavigator.com/Article/2021/01/26/china-back-on-top-in-global-feed-production-ranking/"/>
    <hyperlink ref="F6" r:id="rId2" display="https://www.provisioneronline.com/articles/112062-2022-alltech-agri-food-outlook-reveals-global-feed-production-survey-data-and-trends-shaping-the-future"/>
    <hyperlink ref="F7" r:id="rId3" display="https://www.poultryproducer.com/?p=17574"/>
    <hyperlink ref="F8" r:id="rId4" display="https://millingmea.com/global-feed-production-remains-steady-despite-challenges-alltech-agri-food-outlook-2024/"/>
    <hyperlink ref="F9" r:id="rId5" display="https://www.alltech.com/press-release/2025-alltech-agri-food-outlook-shares-global-feed-production-survey-data"/>
    <hyperlink ref="F10" r:id="rId6" display="https://www.alltech.com/press-release/2026-alltech-agri-food-outlook-shares-global-feed-production-survey-dat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3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215</v>
      </c>
    </row>
    <row r="3" customFormat="false" ht="15" hidden="false" customHeight="false" outlineLevel="0" collapsed="false">
      <c r="A3" s="9" t="s">
        <v>216</v>
      </c>
      <c r="B3" s="9" t="s">
        <v>95</v>
      </c>
      <c r="C3" s="9" t="s">
        <v>201</v>
      </c>
      <c r="D3" s="9" t="s">
        <v>211</v>
      </c>
      <c r="E3" s="9" t="s">
        <v>217</v>
      </c>
      <c r="F3" s="9" t="s">
        <v>218</v>
      </c>
    </row>
    <row r="4" customFormat="false" ht="15" hidden="false" customHeight="false" outlineLevel="0" collapsed="false">
      <c r="A4" s="2" t="s">
        <v>219</v>
      </c>
      <c r="B4" s="25"/>
      <c r="C4" s="25"/>
      <c r="D4" s="25"/>
      <c r="E4" s="25"/>
      <c r="F4" s="12"/>
    </row>
    <row r="5" customFormat="false" ht="15" hidden="false" customHeight="false" outlineLevel="0" collapsed="false">
      <c r="A5" s="4" t="s">
        <v>220</v>
      </c>
      <c r="B5" s="26" t="n">
        <v>1</v>
      </c>
      <c r="C5" s="27" t="n">
        <f aca="false">FeedIdx2022</f>
        <v>1.0187034</v>
      </c>
      <c r="D5" s="27" t="n">
        <f aca="false">FeedIdx2025</f>
        <v>1.06071866570838</v>
      </c>
      <c r="E5" s="26" t="n">
        <f aca="false">D5*(1+FeedG2026)</f>
        <v>1.07662944569401</v>
      </c>
      <c r="F5" s="12" t="s">
        <v>221</v>
      </c>
    </row>
    <row r="6" customFormat="false" ht="15" hidden="false" customHeight="false" outlineLevel="0" collapsed="false">
      <c r="A6" s="4" t="s">
        <v>222</v>
      </c>
      <c r="B6" s="26" t="n">
        <v>1</v>
      </c>
      <c r="C6" s="27" t="n">
        <f aca="false">HumIdx2022</f>
        <v>0.95</v>
      </c>
      <c r="D6" s="27" t="n">
        <f aca="false">HumIdx2025</f>
        <v>1.13</v>
      </c>
      <c r="E6" s="27" t="n">
        <f aca="false">HumIdx2026</f>
        <v>1.15</v>
      </c>
      <c r="F6" s="12" t="s">
        <v>223</v>
      </c>
    </row>
    <row r="7" customFormat="false" ht="15" hidden="false" customHeight="false" outlineLevel="0" collapsed="false">
      <c r="A7" s="4" t="s">
        <v>224</v>
      </c>
      <c r="B7" s="28" t="n">
        <f aca="false">Base2020*(1-HumanShare)*B5</f>
        <v>5000</v>
      </c>
      <c r="C7" s="28" t="n">
        <f aca="false">Base2020*(1-HumanShare)*C5</f>
        <v>5093.517</v>
      </c>
      <c r="D7" s="28" t="n">
        <f aca="false">Base2020*(1-HumanShare)*D5</f>
        <v>5303.59332854191</v>
      </c>
      <c r="E7" s="28" t="n">
        <f aca="false">Base2020*(1-HumanShare)*E5</f>
        <v>5383.14722847004</v>
      </c>
      <c r="F7" s="12" t="s">
        <v>225</v>
      </c>
    </row>
    <row r="8" customFormat="false" ht="15" hidden="false" customHeight="false" outlineLevel="0" collapsed="false">
      <c r="A8" s="4" t="s">
        <v>226</v>
      </c>
      <c r="B8" s="28" t="n">
        <f aca="false">Base2020*HumanShare*B6</f>
        <v>1250</v>
      </c>
      <c r="C8" s="28" t="n">
        <f aca="false">Base2020*HumanShare*C6</f>
        <v>1187.5</v>
      </c>
      <c r="D8" s="28" t="n">
        <f aca="false">Base2020*HumanShare*D6</f>
        <v>1412.5</v>
      </c>
      <c r="E8" s="28" t="n">
        <f aca="false">Base2020*HumanShare*E6</f>
        <v>1437.5</v>
      </c>
      <c r="F8" s="12" t="s">
        <v>227</v>
      </c>
    </row>
    <row r="9" customFormat="false" ht="15" hidden="false" customHeight="false" outlineLevel="0" collapsed="false">
      <c r="A9" s="2" t="s">
        <v>228</v>
      </c>
      <c r="B9" s="29" t="n">
        <f aca="false">B7+B8</f>
        <v>6250</v>
      </c>
      <c r="C9" s="29" t="n">
        <f aca="false">C7+C8</f>
        <v>6281.017</v>
      </c>
      <c r="D9" s="29" t="n">
        <f aca="false">D7+D8</f>
        <v>6716.09332854191</v>
      </c>
      <c r="E9" s="29" t="n">
        <f aca="false">E7+E8</f>
        <v>6820.64722847004</v>
      </c>
      <c r="F9" s="12"/>
    </row>
    <row r="10" customFormat="false" ht="15" hidden="false" customHeight="false" outlineLevel="0" collapsed="false">
      <c r="A10" s="4" t="s">
        <v>229</v>
      </c>
      <c r="B10" s="30" t="n">
        <f aca="false">B9/Potency</f>
        <v>78.125</v>
      </c>
      <c r="C10" s="30" t="n">
        <f aca="false">C9/Potency</f>
        <v>78.5127125</v>
      </c>
      <c r="D10" s="30" t="n">
        <f aca="false">D9/Potency</f>
        <v>83.9511666067739</v>
      </c>
      <c r="E10" s="30" t="n">
        <f aca="false">E9/Potency</f>
        <v>85.2580903558755</v>
      </c>
      <c r="F10" s="12" t="s">
        <v>230</v>
      </c>
    </row>
    <row r="11" customFormat="false" ht="15" hidden="false" customHeight="false" outlineLevel="0" collapsed="false">
      <c r="A11" s="4" t="s">
        <v>231</v>
      </c>
      <c r="B11" s="30" t="n">
        <f aca="false">B8/Potency</f>
        <v>15.625</v>
      </c>
      <c r="C11" s="30" t="n">
        <f aca="false">C8/Potency</f>
        <v>14.84375</v>
      </c>
      <c r="D11" s="30" t="n">
        <f aca="false">D8/Potency</f>
        <v>17.65625</v>
      </c>
      <c r="E11" s="30" t="n">
        <f aca="false">E8/Potency</f>
        <v>17.96875</v>
      </c>
      <c r="F11" s="12"/>
    </row>
    <row r="12" customFormat="false" ht="15" hidden="false" customHeight="false" outlineLevel="0" collapsed="false">
      <c r="A12" s="4" t="s">
        <v>232</v>
      </c>
      <c r="B12" s="31" t="n">
        <f aca="false">B9/$B$9-1</f>
        <v>0</v>
      </c>
      <c r="C12" s="31" t="n">
        <f aca="false">C9/$B$9-1</f>
        <v>0.00496271999999998</v>
      </c>
      <c r="D12" s="31" t="n">
        <f aca="false">D9/$B$9-1</f>
        <v>0.0745749325667053</v>
      </c>
      <c r="E12" s="31" t="n">
        <f aca="false">E9/$B$9-1</f>
        <v>0.0913035565552058</v>
      </c>
      <c r="F12" s="12"/>
    </row>
    <row r="14" customFormat="false" ht="15" hidden="false" customHeight="false" outlineLevel="0" collapsed="false">
      <c r="A14" s="2" t="s">
        <v>233</v>
      </c>
      <c r="B14" s="25"/>
      <c r="C14" s="25"/>
      <c r="D14" s="25"/>
      <c r="E14" s="25"/>
      <c r="F14" s="12"/>
    </row>
    <row r="15" customFormat="false" ht="15" hidden="false" customHeight="false" outlineLevel="0" collapsed="false">
      <c r="A15" s="4" t="s">
        <v>234</v>
      </c>
      <c r="B15" s="32" t="n">
        <f aca="false">FeedP2020</f>
        <v>26</v>
      </c>
      <c r="C15" s="32" t="n">
        <f aca="false">FeedP2022</f>
        <v>11.5</v>
      </c>
      <c r="D15" s="32" t="n">
        <f aca="false">FeedP2025</f>
        <v>32</v>
      </c>
      <c r="E15" s="32" t="n">
        <f aca="false">FeedP2026</f>
        <v>21</v>
      </c>
      <c r="F15" s="12" t="s">
        <v>235</v>
      </c>
    </row>
    <row r="16" customFormat="false" ht="15" hidden="false" customHeight="false" outlineLevel="0" collapsed="false">
      <c r="A16" s="4" t="s">
        <v>236</v>
      </c>
      <c r="B16" s="33" t="n">
        <f aca="false">HumP2020</f>
        <v>2200</v>
      </c>
      <c r="C16" s="33" t="n">
        <f aca="false">HumP2022</f>
        <v>2390</v>
      </c>
      <c r="D16" s="33" t="n">
        <f aca="false">HumP2025</f>
        <v>2420</v>
      </c>
      <c r="E16" s="33" t="n">
        <f aca="false">HumP2026</f>
        <v>2420</v>
      </c>
      <c r="F16" s="12" t="s">
        <v>237</v>
      </c>
    </row>
    <row r="17" customFormat="false" ht="15" hidden="false" customHeight="false" outlineLevel="0" collapsed="false">
      <c r="A17" s="4" t="s">
        <v>238</v>
      </c>
      <c r="B17" s="34" t="n">
        <f aca="false">B16/Potency/B15</f>
        <v>1.05769230769231</v>
      </c>
      <c r="C17" s="34" t="n">
        <f aca="false">C16/Potency/C15</f>
        <v>2.59782608695652</v>
      </c>
      <c r="D17" s="34" t="n">
        <f aca="false">D16/Potency/D15</f>
        <v>0.9453125</v>
      </c>
      <c r="E17" s="34" t="n">
        <f aca="false">E16/Potency/E15</f>
        <v>1.44047619047619</v>
      </c>
      <c r="F17" s="12" t="s">
        <v>239</v>
      </c>
    </row>
    <row r="19" customFormat="false" ht="15" hidden="false" customHeight="false" outlineLevel="0" collapsed="false">
      <c r="A19" s="2" t="s">
        <v>240</v>
      </c>
      <c r="B19" s="25"/>
      <c r="C19" s="25"/>
      <c r="D19" s="25"/>
      <c r="E19" s="25"/>
      <c r="F19" s="12"/>
    </row>
    <row r="20" customFormat="false" ht="15" hidden="false" customHeight="false" outlineLevel="0" collapsed="false">
      <c r="A20" s="4" t="s">
        <v>241</v>
      </c>
      <c r="B20" s="28" t="n">
        <f aca="false">B7*B15/1000</f>
        <v>130</v>
      </c>
      <c r="C20" s="28" t="n">
        <f aca="false">C7*C15/1000</f>
        <v>58.5754455</v>
      </c>
      <c r="D20" s="28" t="n">
        <f aca="false">D7*D15/1000</f>
        <v>169.714986513341</v>
      </c>
      <c r="E20" s="28" t="n">
        <f aca="false">E7*E15/1000</f>
        <v>113.046091797871</v>
      </c>
      <c r="F20" s="12" t="s">
        <v>242</v>
      </c>
    </row>
    <row r="21" customFormat="false" ht="15" hidden="false" customHeight="false" outlineLevel="0" collapsed="false">
      <c r="A21" s="4" t="s">
        <v>243</v>
      </c>
      <c r="B21" s="28" t="n">
        <f aca="false">B11*B16/1000</f>
        <v>34.375</v>
      </c>
      <c r="C21" s="28" t="n">
        <f aca="false">C11*C16/1000</f>
        <v>35.4765625</v>
      </c>
      <c r="D21" s="28" t="n">
        <f aca="false">D11*D16/1000</f>
        <v>42.728125</v>
      </c>
      <c r="E21" s="28" t="n">
        <f aca="false">E11*E16/1000</f>
        <v>43.484375</v>
      </c>
      <c r="F21" s="12" t="s">
        <v>244</v>
      </c>
    </row>
    <row r="22" customFormat="false" ht="15" hidden="false" customHeight="false" outlineLevel="0" collapsed="false">
      <c r="A22" s="2" t="s">
        <v>245</v>
      </c>
      <c r="B22" s="29" t="n">
        <f aca="false">B20+B21</f>
        <v>164.375</v>
      </c>
      <c r="C22" s="29" t="n">
        <f aca="false">C20+C21</f>
        <v>94.052008</v>
      </c>
      <c r="D22" s="29" t="n">
        <f aca="false">D20+D21</f>
        <v>212.443111513341</v>
      </c>
      <c r="E22" s="29" t="n">
        <f aca="false">E20+E21</f>
        <v>156.530466797871</v>
      </c>
      <c r="F22" s="12"/>
    </row>
    <row r="23" customFormat="false" ht="15" hidden="false" customHeight="false" outlineLevel="0" collapsed="false">
      <c r="A23" s="4" t="s">
        <v>246</v>
      </c>
      <c r="B23" s="35" t="n">
        <f aca="false">IF(B22=0,0,B20/B22)</f>
        <v>0.790874524714829</v>
      </c>
      <c r="C23" s="35" t="n">
        <f aca="false">IF(C22=0,0,C20/C22)</f>
        <v>0.622798457423684</v>
      </c>
      <c r="D23" s="35" t="n">
        <f aca="false">IF(D22=0,0,D20/D22)</f>
        <v>0.798872626673439</v>
      </c>
      <c r="E23" s="35" t="n">
        <f aca="false">IF(E22=0,0,E20/E22)</f>
        <v>0.722198649952589</v>
      </c>
      <c r="F23" s="12"/>
    </row>
    <row r="24" customFormat="false" ht="15" hidden="false" customHeight="false" outlineLevel="0" collapsed="false">
      <c r="A24" s="4" t="s">
        <v>247</v>
      </c>
      <c r="B24" s="28" t="n">
        <f aca="false">B7*FeedP2020_L/1000+B11*HumP2020_L/1000</f>
        <v>140</v>
      </c>
      <c r="C24" s="28" t="n">
        <f aca="false">C7*FeedP2022_L/1000+C11*HumP2022_L/1000</f>
        <v>76.169545</v>
      </c>
      <c r="D24" s="28" t="n">
        <f aca="false">D7*FeedP2025_L/1000+D11*HumP2025_L/1000</f>
        <v>173.212644870632</v>
      </c>
      <c r="E24" s="28" t="n">
        <f aca="false">E7*FeedP2026_L/1000+E11*HumP2026_L/1000</f>
        <v>122.060377883991</v>
      </c>
      <c r="F24" s="12" t="s">
        <v>248</v>
      </c>
    </row>
    <row r="25" customFormat="false" ht="15" hidden="false" customHeight="false" outlineLevel="0" collapsed="false">
      <c r="A25" s="4" t="s">
        <v>249</v>
      </c>
      <c r="B25" s="28" t="n">
        <f aca="false">B7*FeedP2020_H/1000+B11*HumP2020_H/1000</f>
        <v>201.5625</v>
      </c>
      <c r="C25" s="28" t="n">
        <f aca="false">C7*FeedP2022_H/1000+C11*HumP2022_H/1000</f>
        <v>115.200096</v>
      </c>
      <c r="D25" s="28" t="n">
        <f aca="false">D7*FeedP2025_H/1000+D11*HumP2025_H/1000</f>
        <v>270.409358141676</v>
      </c>
      <c r="E25" s="28" t="n">
        <f aca="false">E7*FeedP2026_H/1000+E11*HumP2026_H/1000</f>
        <v>193.875555711751</v>
      </c>
      <c r="F25" s="12" t="s">
        <v>250</v>
      </c>
    </row>
    <row r="27" customFormat="false" ht="15" hidden="false" customHeight="false" outlineLevel="0" collapsed="false">
      <c r="A27" s="36" t="s">
        <v>251</v>
      </c>
    </row>
    <row r="28" customFormat="false" ht="15" hidden="false" customHeight="false" outlineLevel="0" collapsed="false">
      <c r="A28" s="4" t="s">
        <v>252</v>
      </c>
      <c r="B28" s="28" t="n">
        <f aca="false">IF(ISNUMBER(Base2022User),Base2022User,C9)</f>
        <v>6281.017</v>
      </c>
      <c r="F28" s="19" t="s">
        <v>253</v>
      </c>
    </row>
    <row r="29" customFormat="false" ht="15" hidden="false" customHeight="false" outlineLevel="0" collapsed="false">
      <c r="A29" s="4" t="s">
        <v>254</v>
      </c>
      <c r="B29" s="37" t="n">
        <f aca="false">C8/C9</f>
        <v>0.189061739524029</v>
      </c>
      <c r="F29" s="19" t="s">
        <v>255</v>
      </c>
    </row>
    <row r="30" customFormat="false" ht="15" hidden="false" customHeight="false" outlineLevel="0" collapsed="false">
      <c r="A30" s="4" t="s">
        <v>256</v>
      </c>
      <c r="B30" s="26" t="n">
        <f aca="false">E5/C5</f>
        <v>1.056862523178</v>
      </c>
      <c r="F30" s="19" t="s">
        <v>257</v>
      </c>
    </row>
    <row r="31" customFormat="false" ht="15" hidden="false" customHeight="false" outlineLevel="0" collapsed="false">
      <c r="A31" s="4" t="s">
        <v>258</v>
      </c>
      <c r="B31" s="26" t="n">
        <f aca="false">E6/C6</f>
        <v>1.21052631578947</v>
      </c>
      <c r="F31" s="19" t="s">
        <v>259</v>
      </c>
    </row>
    <row r="32" customFormat="false" ht="15" hidden="false" customHeight="false" outlineLevel="0" collapsed="false">
      <c r="A32" s="4" t="s">
        <v>260</v>
      </c>
      <c r="B32" s="28" t="n">
        <f aca="false">B28*(1-B29)*B30+B28*B29*B31</f>
        <v>6820.64722847004</v>
      </c>
      <c r="F32" s="19"/>
    </row>
    <row r="33" customFormat="false" ht="15" hidden="false" customHeight="false" outlineLevel="0" collapsed="false">
      <c r="A33" s="4" t="s">
        <v>261</v>
      </c>
      <c r="B33" s="28" t="n">
        <f aca="false">B28*(1-B29)*B30*FeedP2026/1000+B28*B29*B31/Potency*HumP2026/1000</f>
        <v>156.530466797871</v>
      </c>
      <c r="F33" s="19"/>
    </row>
    <row r="34" customFormat="false" ht="15" hidden="false" customHeight="false" outlineLevel="0" collapsed="false">
      <c r="A34" s="4" t="s">
        <v>262</v>
      </c>
      <c r="B34" s="31" t="n">
        <f aca="false">IF(E22=0,0,B33/E22-1)</f>
        <v>0</v>
      </c>
      <c r="F34" s="19" t="s">
        <v>263</v>
      </c>
    </row>
    <row r="36" customFormat="false" ht="42" hidden="false" customHeight="true" outlineLevel="0" collapsed="false">
      <c r="A36" s="38" t="s">
        <v>264</v>
      </c>
      <c r="B36" s="38"/>
      <c r="C36" s="38"/>
      <c r="D36" s="38"/>
      <c r="E36" s="38"/>
      <c r="F36" s="38"/>
    </row>
    <row r="38" customFormat="false" ht="27.75" hidden="false" customHeight="true" outlineLevel="0" collapsed="false">
      <c r="A38" s="36" t="s">
        <v>265</v>
      </c>
      <c r="B38" s="39" t="s">
        <v>266</v>
      </c>
      <c r="C38" s="39" t="s">
        <v>267</v>
      </c>
    </row>
    <row r="40" customFormat="false" ht="15" hidden="false" customHeight="false" outlineLevel="0" collapsed="false">
      <c r="A40" s="4" t="s">
        <v>268</v>
      </c>
      <c r="B40" s="33" t="n">
        <f aca="false">IF_Supply</f>
        <v>3640</v>
      </c>
      <c r="C40" s="33" t="n">
        <f aca="false">IF_Supply</f>
        <v>3640</v>
      </c>
      <c r="F40" s="19" t="s">
        <v>269</v>
      </c>
    </row>
    <row r="41" customFormat="false" ht="15" hidden="false" customHeight="false" outlineLevel="0" collapsed="false">
      <c r="A41" s="4" t="s">
        <v>270</v>
      </c>
      <c r="B41" s="33" t="n">
        <f aca="false">IF_BasisA</f>
        <v>500000</v>
      </c>
      <c r="C41" s="33" t="n">
        <f aca="false">IF_BasisB</f>
        <v>1000000</v>
      </c>
      <c r="F41" s="19" t="s">
        <v>271</v>
      </c>
    </row>
    <row r="42" customFormat="false" ht="15" hidden="false" customHeight="false" outlineLevel="0" collapsed="false">
      <c r="A42" s="4" t="s">
        <v>272</v>
      </c>
      <c r="B42" s="28" t="n">
        <f aca="false">B40*B41/500000</f>
        <v>3640</v>
      </c>
      <c r="C42" s="28" t="n">
        <f aca="false">C40*C41/500000</f>
        <v>7280</v>
      </c>
      <c r="F42" s="19" t="s">
        <v>273</v>
      </c>
    </row>
    <row r="43" customFormat="false" ht="15" hidden="false" customHeight="false" outlineLevel="0" collapsed="false">
      <c r="A43" s="4" t="s">
        <v>274</v>
      </c>
      <c r="B43" s="30" t="n">
        <f aca="false">B42/Potency</f>
        <v>45.5</v>
      </c>
      <c r="C43" s="30" t="n">
        <f aca="false">C42/Potency</f>
        <v>91</v>
      </c>
      <c r="F43" s="19"/>
    </row>
    <row r="44" customFormat="false" ht="15" hidden="false" customHeight="false" outlineLevel="0" collapsed="false">
      <c r="A44" s="4" t="s">
        <v>275</v>
      </c>
      <c r="B44" s="28" t="n">
        <f aca="false">Base2020*(1-HumanShare)*FeedIdx2023+Base2020*HumanShare*HumIdx2023</f>
        <v>6093.0076483</v>
      </c>
      <c r="C44" s="28" t="n">
        <f aca="false">Base2020*(1-HumanShare)*FeedIdx2023+Base2020*HumanShare*HumIdx2023</f>
        <v>6093.0076483</v>
      </c>
      <c r="F44" s="19" t="s">
        <v>276</v>
      </c>
    </row>
    <row r="45" customFormat="false" ht="15" hidden="false" customHeight="false" outlineLevel="0" collapsed="false">
      <c r="A45" s="4" t="s">
        <v>277</v>
      </c>
      <c r="B45" s="35" t="n">
        <f aca="false">IF(B44=0,0,B42/B44)</f>
        <v>0.597406110431453</v>
      </c>
      <c r="C45" s="35" t="n">
        <f aca="false">IF(C44=0,0,C42/C44)</f>
        <v>1.19481222086291</v>
      </c>
      <c r="F45" s="19"/>
    </row>
    <row r="46" customFormat="false" ht="15" hidden="false" customHeight="false" outlineLevel="0" collapsed="false">
      <c r="A46" s="4" t="s">
        <v>278</v>
      </c>
      <c r="B46" s="37" t="n">
        <f aca="false">Base2020*HumanShare*HumIdx2023/B44</f>
        <v>0.164122557810839</v>
      </c>
      <c r="C46" s="37" t="n">
        <f aca="false">Base2020*HumanShare*HumIdx2023/C44</f>
        <v>0.164122557810839</v>
      </c>
      <c r="F46" s="19" t="s">
        <v>279</v>
      </c>
    </row>
    <row r="47" customFormat="false" ht="15" hidden="false" customHeight="false" outlineLevel="0" collapsed="false">
      <c r="A47" s="4" t="s">
        <v>280</v>
      </c>
      <c r="B47" s="26" t="n">
        <f aca="false">$E$5/FeedIdx2023</f>
        <v>1.05696822</v>
      </c>
      <c r="C47" s="26" t="n">
        <f aca="false">$E$5/FeedIdx2023</f>
        <v>1.05696822</v>
      </c>
      <c r="F47" s="19" t="s">
        <v>257</v>
      </c>
    </row>
    <row r="48" customFormat="false" ht="15" hidden="false" customHeight="false" outlineLevel="0" collapsed="false">
      <c r="A48" s="4" t="s">
        <v>281</v>
      </c>
      <c r="B48" s="26" t="n">
        <f aca="false">HumIdx2026/HumIdx2023</f>
        <v>1.4375</v>
      </c>
      <c r="C48" s="26" t="n">
        <f aca="false">HumIdx2026/HumIdx2023</f>
        <v>1.4375</v>
      </c>
      <c r="F48" s="19" t="s">
        <v>282</v>
      </c>
    </row>
    <row r="49" customFormat="false" ht="15" hidden="false" customHeight="false" outlineLevel="0" collapsed="false">
      <c r="A49" s="4" t="s">
        <v>283</v>
      </c>
      <c r="B49" s="28" t="n">
        <f aca="false">B42*((1-B46)*B47+B46*B48)</f>
        <v>4074.69633138536</v>
      </c>
      <c r="C49" s="28" t="n">
        <f aca="false">C42*((1-C46)*C47+C46*C48)</f>
        <v>8149.39266277071</v>
      </c>
      <c r="F49" s="19"/>
    </row>
    <row r="50" customFormat="false" ht="15" hidden="false" customHeight="false" outlineLevel="0" collapsed="false">
      <c r="A50" s="4" t="s">
        <v>19</v>
      </c>
      <c r="B50" s="30" t="n">
        <f aca="false">B49/Potency</f>
        <v>50.933704142317</v>
      </c>
      <c r="C50" s="30" t="n">
        <f aca="false">C49/Potency</f>
        <v>101.867408284634</v>
      </c>
      <c r="F50" s="19"/>
    </row>
    <row r="51" customFormat="false" ht="15" hidden="false" customHeight="false" outlineLevel="0" collapsed="false">
      <c r="A51" s="4" t="s">
        <v>284</v>
      </c>
      <c r="B51" s="28" t="n">
        <f aca="false">B42*(1-B46)*B47*FeedP2026/1000+B42*B46*B48/Potency*HumP2026/1000</f>
        <v>93.5122573337357</v>
      </c>
      <c r="C51" s="28" t="n">
        <f aca="false">C42*(1-C46)*C47*FeedP2026/1000+C42*C46*C48/Potency*HumP2026/1000</f>
        <v>187.024514667471</v>
      </c>
      <c r="F51" s="19" t="s">
        <v>285</v>
      </c>
    </row>
    <row r="52" customFormat="false" ht="15" hidden="false" customHeight="false" outlineLevel="0" collapsed="false">
      <c r="A52" s="4" t="s">
        <v>286</v>
      </c>
      <c r="B52" s="40" t="n">
        <f aca="false">IF($E$22=0,0,B51/$E$22-1)</f>
        <v>-0.402593889568547</v>
      </c>
      <c r="C52" s="40" t="n">
        <f aca="false">IF($E$22=0,0,C51/$E$22-1)</f>
        <v>0.194812220862907</v>
      </c>
      <c r="F52" s="19"/>
    </row>
    <row r="53" customFormat="false" ht="15" hidden="false" customHeight="false" outlineLevel="0" collapsed="false">
      <c r="A53" s="4" t="s">
        <v>287</v>
      </c>
      <c r="B53" s="28" t="n">
        <f aca="false">IF_Cap*B41/500000/Potency</f>
        <v>237.5</v>
      </c>
      <c r="C53" s="28" t="n">
        <f aca="false">IF_Cap*C41/500000/Potency</f>
        <v>475</v>
      </c>
      <c r="F53" s="19" t="s">
        <v>288</v>
      </c>
    </row>
    <row r="54" customFormat="false" ht="15" hidden="false" customHeight="false" outlineLevel="0" collapsed="false">
      <c r="A54" s="4" t="s">
        <v>289</v>
      </c>
      <c r="B54" s="34" t="n">
        <f aca="false">IF_Cap/IF_Demand</f>
        <v>5.05992010652463</v>
      </c>
      <c r="C54" s="34" t="n">
        <f aca="false">IF_Cap/IF_Demand</f>
        <v>5.05992010652463</v>
      </c>
      <c r="F54" s="19" t="s">
        <v>290</v>
      </c>
    </row>
    <row r="56" customFormat="false" ht="54" hidden="false" customHeight="true" outlineLevel="0" collapsed="false">
      <c r="A56" s="38" t="s">
        <v>291</v>
      </c>
      <c r="B56" s="38"/>
      <c r="C56" s="38"/>
      <c r="D56" s="38"/>
      <c r="E56" s="38"/>
      <c r="F56" s="38"/>
    </row>
  </sheetData>
  <mergeCells count="2">
    <mergeCell ref="A36:F36"/>
    <mergeCell ref="A56:F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292</v>
      </c>
    </row>
    <row r="2" customFormat="false" ht="15" hidden="false" customHeight="false" outlineLevel="0" collapsed="false">
      <c r="A2" s="19" t="s">
        <v>293</v>
      </c>
    </row>
    <row r="4" customFormat="false" ht="15" hidden="false" customHeight="false" outlineLevel="0" collapsed="false">
      <c r="A4" s="41" t="s">
        <v>294</v>
      </c>
      <c r="B4" s="42" t="n">
        <v>0.11</v>
      </c>
      <c r="C4" s="42" t="n">
        <v>0.15</v>
      </c>
      <c r="D4" s="42" t="n">
        <v>0.2</v>
      </c>
      <c r="E4" s="42" t="n">
        <v>0.25</v>
      </c>
      <c r="F4" s="42" t="n">
        <v>0.3</v>
      </c>
    </row>
    <row r="5" customFormat="false" ht="15" hidden="false" customHeight="false" outlineLevel="0" collapsed="false">
      <c r="A5" s="43" t="n">
        <v>15</v>
      </c>
      <c r="B5" s="28" t="n">
        <f aca="false">Base2020*(1-B$4)*Model!$E$5*$A5/1000+Base2020*B$4*Model!$E$6/Potency*HumP2026/1000</f>
        <v>113.747675625094</v>
      </c>
      <c r="C5" s="28" t="n">
        <f aca="false">Base2020*(1-C$4)*Model!$E$5*$A5/1000+Base2020*C$4*Model!$E$6/Potency*HumP2026/1000</f>
        <v>118.407190203741</v>
      </c>
      <c r="D5" s="28" t="n">
        <f aca="false">Base2020*(1-D$4)*Model!$E$5*$A5/1000+Base2020*D$4*Model!$E$6/Potency*HumP2026/1000</f>
        <v>124.231583427051</v>
      </c>
      <c r="E5" s="28" t="n">
        <f aca="false">Base2020*(1-E$4)*Model!$E$5*$A5/1000+Base2020*E$4*Model!$E$6/Potency*HumP2026/1000</f>
        <v>130.05597665036</v>
      </c>
      <c r="F5" s="28" t="n">
        <f aca="false">Base2020*(1-F$4)*Model!$E$5*$A5/1000+Base2020*F$4*Model!$E$6/Potency*HumP2026/1000</f>
        <v>135.880369873669</v>
      </c>
    </row>
    <row r="6" customFormat="false" ht="15" hidden="false" customHeight="false" outlineLevel="0" collapsed="false">
      <c r="A6" s="43" t="n">
        <v>17</v>
      </c>
      <c r="B6" s="28" t="n">
        <f aca="false">Base2020*(1-B$4)*Model!$E$5*$A6/1000+Base2020*B$4*Model!$E$6/Potency*HumP2026/1000</f>
        <v>125.72517820844</v>
      </c>
      <c r="C6" s="28" t="n">
        <f aca="false">Base2020*(1-C$4)*Model!$E$5*$A6/1000+Base2020*C$4*Model!$E$6/Potency*HumP2026/1000</f>
        <v>129.84637806424</v>
      </c>
      <c r="D6" s="28" t="n">
        <f aca="false">Base2020*(1-D$4)*Model!$E$5*$A6/1000+Base2020*D$4*Model!$E$6/Potency*HumP2026/1000</f>
        <v>134.997877883991</v>
      </c>
      <c r="E6" s="28" t="n">
        <f aca="false">Base2020*(1-E$4)*Model!$E$5*$A6/1000+Base2020*E$4*Model!$E$6/Potency*HumP2026/1000</f>
        <v>140.149377703741</v>
      </c>
      <c r="F6" s="28" t="n">
        <f aca="false">Base2020*(1-F$4)*Model!$E$5*$A6/1000+Base2020*F$4*Model!$E$6/Potency*HumP2026/1000</f>
        <v>145.300877523492</v>
      </c>
    </row>
    <row r="7" customFormat="false" ht="15" hidden="false" customHeight="false" outlineLevel="0" collapsed="false">
      <c r="A7" s="43" t="n">
        <v>19</v>
      </c>
      <c r="B7" s="28" t="n">
        <f aca="false">Base2020*(1-B$4)*Model!$E$5*$A7/1000+Base2020*B$4*Model!$E$6/Potency*HumP2026/1000</f>
        <v>137.702680791785</v>
      </c>
      <c r="C7" s="28" t="n">
        <f aca="false">Base2020*(1-C$4)*Model!$E$5*$A7/1000+Base2020*C$4*Model!$E$6/Potency*HumP2026/1000</f>
        <v>141.285565924739</v>
      </c>
      <c r="D7" s="28" t="n">
        <f aca="false">Base2020*(1-D$4)*Model!$E$5*$A7/1000+Base2020*D$4*Model!$E$6/Potency*HumP2026/1000</f>
        <v>145.764172340931</v>
      </c>
      <c r="E7" s="28" t="n">
        <f aca="false">Base2020*(1-E$4)*Model!$E$5*$A7/1000+Base2020*E$4*Model!$E$6/Potency*HumP2026/1000</f>
        <v>150.242778757123</v>
      </c>
      <c r="F7" s="28" t="n">
        <f aca="false">Base2020*(1-F$4)*Model!$E$5*$A7/1000+Base2020*F$4*Model!$E$6/Potency*HumP2026/1000</f>
        <v>154.721385173314</v>
      </c>
    </row>
    <row r="8" customFormat="false" ht="15" hidden="false" customHeight="false" outlineLevel="0" collapsed="false">
      <c r="A8" s="43" t="n">
        <v>21</v>
      </c>
      <c r="B8" s="28" t="n">
        <f aca="false">Base2020*(1-B$4)*Model!$E$5*$A8/1000+Base2020*B$4*Model!$E$6/Potency*HumP2026/1000</f>
        <v>149.680183375131</v>
      </c>
      <c r="C8" s="28" t="n">
        <f aca="false">Base2020*(1-C$4)*Model!$E$5*$A8/1000+Base2020*C$4*Model!$E$6/Potency*HumP2026/1000</f>
        <v>152.724753785238</v>
      </c>
      <c r="D8" s="28" t="n">
        <f aca="false">Base2020*(1-D$4)*Model!$E$5*$A8/1000+Base2020*D$4*Model!$E$6/Potency*HumP2026/1000</f>
        <v>156.530466797871</v>
      </c>
      <c r="E8" s="28" t="n">
        <f aca="false">Base2020*(1-E$4)*Model!$E$5*$A8/1000+Base2020*E$4*Model!$E$6/Potency*HumP2026/1000</f>
        <v>160.336179810504</v>
      </c>
      <c r="F8" s="28" t="n">
        <f aca="false">Base2020*(1-F$4)*Model!$E$5*$A8/1000+Base2020*F$4*Model!$E$6/Potency*HumP2026/1000</f>
        <v>164.141892823137</v>
      </c>
    </row>
    <row r="9" customFormat="false" ht="15" hidden="false" customHeight="false" outlineLevel="0" collapsed="false">
      <c r="A9" s="43" t="n">
        <v>23</v>
      </c>
      <c r="B9" s="28" t="n">
        <f aca="false">Base2020*(1-B$4)*Model!$E$5*$A9/1000+Base2020*B$4*Model!$E$6/Potency*HumP2026/1000</f>
        <v>161.657685958477</v>
      </c>
      <c r="C9" s="28" t="n">
        <f aca="false">Base2020*(1-C$4)*Model!$E$5*$A9/1000+Base2020*C$4*Model!$E$6/Potency*HumP2026/1000</f>
        <v>164.163941645737</v>
      </c>
      <c r="D9" s="28" t="n">
        <f aca="false">Base2020*(1-D$4)*Model!$E$5*$A9/1000+Base2020*D$4*Model!$E$6/Potency*HumP2026/1000</f>
        <v>167.296761254811</v>
      </c>
      <c r="E9" s="28" t="n">
        <f aca="false">Base2020*(1-E$4)*Model!$E$5*$A9/1000+Base2020*E$4*Model!$E$6/Potency*HumP2026/1000</f>
        <v>170.429580863885</v>
      </c>
      <c r="F9" s="28" t="n">
        <f aca="false">Base2020*(1-F$4)*Model!$E$5*$A9/1000+Base2020*F$4*Model!$E$6/Potency*HumP2026/1000</f>
        <v>173.562400472959</v>
      </c>
    </row>
    <row r="10" customFormat="false" ht="15" hidden="false" customHeight="false" outlineLevel="0" collapsed="false">
      <c r="A10" s="43" t="n">
        <v>25</v>
      </c>
      <c r="B10" s="28" t="n">
        <f aca="false">Base2020*(1-B$4)*Model!$E$5*$A10/1000+Base2020*B$4*Model!$E$6/Potency*HumP2026/1000</f>
        <v>173.635188541823</v>
      </c>
      <c r="C10" s="28" t="n">
        <f aca="false">Base2020*(1-C$4)*Model!$E$5*$A10/1000+Base2020*C$4*Model!$E$6/Potency*HumP2026/1000</f>
        <v>175.603129506235</v>
      </c>
      <c r="D10" s="28" t="n">
        <f aca="false">Base2020*(1-D$4)*Model!$E$5*$A10/1000+Base2020*D$4*Model!$E$6/Potency*HumP2026/1000</f>
        <v>178.063055711751</v>
      </c>
      <c r="E10" s="28" t="n">
        <f aca="false">Base2020*(1-E$4)*Model!$E$5*$A10/1000+Base2020*E$4*Model!$E$6/Potency*HumP2026/1000</f>
        <v>180.522981917266</v>
      </c>
      <c r="F10" s="28" t="n">
        <f aca="false">Base2020*(1-F$4)*Model!$E$5*$A10/1000+Base2020*F$4*Model!$E$6/Potency*HumP2026/1000</f>
        <v>182.982908122782</v>
      </c>
    </row>
    <row r="11" customFormat="false" ht="15" hidden="false" customHeight="false" outlineLevel="0" collapsed="false">
      <c r="A11" s="43" t="n">
        <v>30</v>
      </c>
      <c r="B11" s="28" t="n">
        <f aca="false">Base2020*(1-B$4)*Model!$E$5*$A11/1000+Base2020*B$4*Model!$E$6/Potency*HumP2026/1000</f>
        <v>203.578945000187</v>
      </c>
      <c r="C11" s="28" t="n">
        <f aca="false">Base2020*(1-C$4)*Model!$E$5*$A11/1000+Base2020*C$4*Model!$E$6/Potency*HumP2026/1000</f>
        <v>204.201099157482</v>
      </c>
      <c r="D11" s="28" t="n">
        <f aca="false">Base2020*(1-D$4)*Model!$E$5*$A11/1000+Base2020*D$4*Model!$E$6/Potency*HumP2026/1000</f>
        <v>204.978791854101</v>
      </c>
      <c r="E11" s="28" t="n">
        <f aca="false">Base2020*(1-E$4)*Model!$E$5*$A11/1000+Base2020*E$4*Model!$E$6/Potency*HumP2026/1000</f>
        <v>205.75648455072</v>
      </c>
      <c r="F11" s="28" t="n">
        <f aca="false">Base2020*(1-F$4)*Model!$E$5*$A11/1000+Base2020*F$4*Model!$E$6/Potency*HumP2026/1000</f>
        <v>206.534177247338</v>
      </c>
    </row>
    <row r="12" customFormat="false" ht="15" hidden="false" customHeight="false" outlineLevel="0" collapsed="false">
      <c r="A12" s="43" t="n">
        <v>35</v>
      </c>
      <c r="B12" s="28" t="n">
        <f aca="false">Base2020*(1-B$4)*Model!$E$5*$A12/1000+Base2020*B$4*Model!$E$6/Potency*HumP2026/1000</f>
        <v>233.522701458552</v>
      </c>
      <c r="C12" s="28" t="n">
        <f aca="false">Base2020*(1-C$4)*Model!$E$5*$A12/1000+Base2020*C$4*Model!$E$6/Potency*HumP2026/1000</f>
        <v>232.799068808729</v>
      </c>
      <c r="D12" s="28" t="n">
        <f aca="false">Base2020*(1-D$4)*Model!$E$5*$A12/1000+Base2020*D$4*Model!$E$6/Potency*HumP2026/1000</f>
        <v>231.894527996451</v>
      </c>
      <c r="E12" s="28" t="n">
        <f aca="false">Base2020*(1-E$4)*Model!$E$5*$A12/1000+Base2020*E$4*Model!$E$6/Potency*HumP2026/1000</f>
        <v>230.989987184173</v>
      </c>
      <c r="F12" s="28" t="n">
        <f aca="false">Base2020*(1-F$4)*Model!$E$5*$A12/1000+Base2020*F$4*Model!$E$6/Potency*HumP2026/1000</f>
        <v>230.085446371895</v>
      </c>
    </row>
    <row r="14" customFormat="false" ht="15" hidden="false" customHeight="false" outlineLevel="0" collapsed="false">
      <c r="A14" s="19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46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40"/>
    <col collapsed="false" customWidth="true" hidden="false" outlineLevel="0" max="12" min="12" style="0" width="22"/>
    <col collapsed="false" customWidth="true" hidden="false" outlineLevel="0" max="13" min="13" style="0" width="10"/>
    <col collapsed="false" customWidth="true" hidden="false" outlineLevel="0" max="14" min="14" style="0" width="50"/>
  </cols>
  <sheetData>
    <row r="1" customFormat="false" ht="17.35" hidden="false" customHeight="false" outlineLevel="0" collapsed="false">
      <c r="A1" s="1" t="s">
        <v>296</v>
      </c>
    </row>
    <row r="3" customFormat="false" ht="23.85" hidden="false" customHeight="false" outlineLevel="0" collapsed="false">
      <c r="A3" s="9" t="s">
        <v>297</v>
      </c>
      <c r="B3" s="9" t="s">
        <v>298</v>
      </c>
      <c r="C3" s="9" t="s">
        <v>299</v>
      </c>
      <c r="D3" s="9" t="s">
        <v>300</v>
      </c>
      <c r="E3" s="9" t="s">
        <v>301</v>
      </c>
      <c r="F3" s="9" t="s">
        <v>302</v>
      </c>
      <c r="G3" s="9" t="s">
        <v>303</v>
      </c>
      <c r="H3" s="9" t="s">
        <v>304</v>
      </c>
      <c r="I3" s="9" t="s">
        <v>34</v>
      </c>
      <c r="J3" s="9" t="s">
        <v>33</v>
      </c>
      <c r="K3" s="9" t="s">
        <v>35</v>
      </c>
      <c r="L3" s="9" t="s">
        <v>36</v>
      </c>
      <c r="M3" s="9" t="s">
        <v>305</v>
      </c>
      <c r="N3" s="9" t="s">
        <v>306</v>
      </c>
    </row>
    <row r="4" customFormat="false" ht="23.85" hidden="false" customHeight="false" outlineLevel="0" collapsed="false">
      <c r="A4" s="3" t="s">
        <v>95</v>
      </c>
      <c r="B4" s="3" t="s">
        <v>307</v>
      </c>
      <c r="C4" s="3" t="s">
        <v>308</v>
      </c>
      <c r="D4" s="3" t="s">
        <v>309</v>
      </c>
      <c r="E4" s="44" t="n">
        <v>6250</v>
      </c>
      <c r="F4" s="45" t="n">
        <f aca="false">E4/Potency</f>
        <v>78.125</v>
      </c>
      <c r="G4" s="3" t="s">
        <v>310</v>
      </c>
      <c r="H4" s="12" t="s">
        <v>311</v>
      </c>
      <c r="I4" s="3" t="s">
        <v>312</v>
      </c>
      <c r="J4" s="3" t="s">
        <v>42</v>
      </c>
      <c r="K4" s="13" t="s">
        <v>44</v>
      </c>
      <c r="L4" s="3" t="s">
        <v>45</v>
      </c>
      <c r="M4" s="3" t="s">
        <v>28</v>
      </c>
      <c r="N4" s="12" t="s">
        <v>313</v>
      </c>
    </row>
    <row r="5" customFormat="false" ht="23.85" hidden="false" customHeight="false" outlineLevel="0" collapsed="false">
      <c r="A5" s="3" t="s">
        <v>95</v>
      </c>
      <c r="B5" s="3" t="s">
        <v>314</v>
      </c>
      <c r="C5" s="3" t="s">
        <v>315</v>
      </c>
      <c r="D5" s="3" t="s">
        <v>309</v>
      </c>
      <c r="E5" s="44" t="n">
        <v>14600</v>
      </c>
      <c r="F5" s="45" t="n">
        <f aca="false">E5/Potency</f>
        <v>182.5</v>
      </c>
      <c r="G5" s="3" t="s">
        <v>310</v>
      </c>
      <c r="H5" s="12" t="s">
        <v>316</v>
      </c>
      <c r="I5" s="3" t="s">
        <v>312</v>
      </c>
      <c r="J5" s="3" t="s">
        <v>42</v>
      </c>
      <c r="K5" s="13" t="s">
        <v>44</v>
      </c>
      <c r="L5" s="3" t="s">
        <v>45</v>
      </c>
      <c r="M5" s="3" t="s">
        <v>317</v>
      </c>
      <c r="N5" s="12" t="s">
        <v>318</v>
      </c>
    </row>
    <row r="6" customFormat="false" ht="32.8" hidden="false" customHeight="false" outlineLevel="0" collapsed="false">
      <c r="A6" s="3" t="s">
        <v>95</v>
      </c>
      <c r="B6" s="3" t="s">
        <v>319</v>
      </c>
      <c r="C6" s="3" t="s">
        <v>320</v>
      </c>
      <c r="D6" s="3" t="s">
        <v>321</v>
      </c>
      <c r="E6" s="44" t="n">
        <v>7500</v>
      </c>
      <c r="F6" s="45" t="n">
        <f aca="false">E6/Potency</f>
        <v>93.75</v>
      </c>
      <c r="G6" s="3" t="s">
        <v>322</v>
      </c>
      <c r="H6" s="12" t="s">
        <v>323</v>
      </c>
      <c r="I6" s="3"/>
      <c r="J6" s="3" t="s">
        <v>324</v>
      </c>
      <c r="K6" s="13" t="s">
        <v>325</v>
      </c>
      <c r="L6" s="3" t="s">
        <v>326</v>
      </c>
      <c r="M6" s="3" t="s">
        <v>327</v>
      </c>
      <c r="N6" s="12" t="s">
        <v>328</v>
      </c>
    </row>
    <row r="7" customFormat="false" ht="35.05" hidden="false" customHeight="false" outlineLevel="0" collapsed="false">
      <c r="A7" s="3" t="s">
        <v>329</v>
      </c>
      <c r="B7" s="3" t="s">
        <v>330</v>
      </c>
      <c r="C7" s="3" t="s">
        <v>331</v>
      </c>
      <c r="D7" s="3" t="s">
        <v>332</v>
      </c>
      <c r="E7" s="44" t="n">
        <v>11000</v>
      </c>
      <c r="F7" s="45" t="n">
        <f aca="false">E7/Potency</f>
        <v>137.5</v>
      </c>
      <c r="G7" s="3" t="s">
        <v>322</v>
      </c>
      <c r="H7" s="12" t="s">
        <v>333</v>
      </c>
      <c r="I7" s="3" t="s">
        <v>334</v>
      </c>
      <c r="J7" s="3" t="s">
        <v>335</v>
      </c>
      <c r="K7" s="13" t="s">
        <v>336</v>
      </c>
      <c r="L7" s="3" t="s">
        <v>337</v>
      </c>
      <c r="M7" s="3" t="s">
        <v>327</v>
      </c>
      <c r="N7" s="12" t="s">
        <v>338</v>
      </c>
    </row>
    <row r="8" customFormat="false" ht="23.85" hidden="false" customHeight="false" outlineLevel="0" collapsed="false">
      <c r="A8" s="3" t="s">
        <v>339</v>
      </c>
      <c r="B8" s="3" t="s">
        <v>340</v>
      </c>
      <c r="C8" s="3" t="s">
        <v>341</v>
      </c>
      <c r="D8" s="3" t="s">
        <v>342</v>
      </c>
      <c r="E8" s="44" t="n">
        <v>8000</v>
      </c>
      <c r="F8" s="45" t="n">
        <f aca="false">E8/Potency</f>
        <v>100</v>
      </c>
      <c r="G8" s="3" t="s">
        <v>322</v>
      </c>
      <c r="H8" s="12" t="s">
        <v>343</v>
      </c>
      <c r="I8" s="3"/>
      <c r="J8" s="3" t="s">
        <v>344</v>
      </c>
      <c r="K8" s="13" t="s">
        <v>345</v>
      </c>
      <c r="L8" s="3" t="s">
        <v>346</v>
      </c>
      <c r="M8" s="3" t="s">
        <v>327</v>
      </c>
      <c r="N8" s="12" t="s">
        <v>347</v>
      </c>
    </row>
    <row r="9" customFormat="false" ht="35.05" hidden="false" customHeight="false" outlineLevel="0" collapsed="false">
      <c r="A9" s="3" t="s">
        <v>204</v>
      </c>
      <c r="B9" s="3" t="s">
        <v>348</v>
      </c>
      <c r="C9" s="3" t="s">
        <v>349</v>
      </c>
      <c r="D9" s="3" t="s">
        <v>321</v>
      </c>
      <c r="E9" s="44" t="n">
        <v>3640</v>
      </c>
      <c r="F9" s="45" t="n">
        <f aca="false">E9/Potency</f>
        <v>45.5</v>
      </c>
      <c r="G9" s="3" t="s">
        <v>322</v>
      </c>
      <c r="H9" s="12" t="s">
        <v>350</v>
      </c>
      <c r="I9" s="3" t="s">
        <v>150</v>
      </c>
      <c r="J9" s="3" t="s">
        <v>149</v>
      </c>
      <c r="K9" s="13" t="s">
        <v>151</v>
      </c>
      <c r="L9" s="3" t="s">
        <v>351</v>
      </c>
      <c r="M9" s="3" t="s">
        <v>352</v>
      </c>
      <c r="N9" s="12" t="s">
        <v>353</v>
      </c>
    </row>
    <row r="10" customFormat="false" ht="23.85" hidden="false" customHeight="false" outlineLevel="0" collapsed="false">
      <c r="A10" s="3" t="s">
        <v>198</v>
      </c>
      <c r="B10" s="3" t="s">
        <v>354</v>
      </c>
      <c r="C10" s="3" t="s">
        <v>355</v>
      </c>
      <c r="D10" s="3" t="s">
        <v>309</v>
      </c>
      <c r="E10" s="44" t="n">
        <v>10308</v>
      </c>
      <c r="F10" s="45" t="n">
        <f aca="false">E10/Potency</f>
        <v>128.85</v>
      </c>
      <c r="G10" s="3" t="s">
        <v>310</v>
      </c>
      <c r="H10" s="12" t="s">
        <v>356</v>
      </c>
      <c r="I10" s="3"/>
      <c r="J10" s="3" t="s">
        <v>357</v>
      </c>
      <c r="K10" s="12"/>
      <c r="L10" s="3" t="s">
        <v>358</v>
      </c>
      <c r="M10" s="3" t="s">
        <v>317</v>
      </c>
      <c r="N10" s="12" t="s">
        <v>359</v>
      </c>
    </row>
    <row r="11" customFormat="false" ht="23.85" hidden="false" customHeight="false" outlineLevel="0" collapsed="false">
      <c r="A11" s="3" t="s">
        <v>360</v>
      </c>
      <c r="B11" s="3" t="s">
        <v>361</v>
      </c>
      <c r="C11" s="3" t="s">
        <v>362</v>
      </c>
      <c r="D11" s="3" t="s">
        <v>309</v>
      </c>
      <c r="E11" s="44" t="n">
        <v>14793</v>
      </c>
      <c r="F11" s="45" t="n">
        <f aca="false">E11/Potency</f>
        <v>184.9125</v>
      </c>
      <c r="G11" s="3" t="s">
        <v>310</v>
      </c>
      <c r="H11" s="12" t="s">
        <v>363</v>
      </c>
      <c r="I11" s="3" t="s">
        <v>364</v>
      </c>
      <c r="J11" s="3" t="s">
        <v>42</v>
      </c>
      <c r="K11" s="13" t="s">
        <v>44</v>
      </c>
      <c r="L11" s="3" t="s">
        <v>54</v>
      </c>
      <c r="M11" s="3" t="s">
        <v>317</v>
      </c>
      <c r="N11" s="12" t="s">
        <v>365</v>
      </c>
    </row>
    <row r="12" customFormat="false" ht="23.85" hidden="false" customHeight="false" outlineLevel="0" collapsed="false">
      <c r="A12" s="3" t="s">
        <v>366</v>
      </c>
      <c r="B12" s="3" t="s">
        <v>367</v>
      </c>
      <c r="C12" s="3" t="s">
        <v>368</v>
      </c>
      <c r="D12" s="3" t="s">
        <v>309</v>
      </c>
      <c r="E12" s="44" t="n">
        <v>6750</v>
      </c>
      <c r="F12" s="45" t="n">
        <f aca="false">E12/Potency</f>
        <v>84.375</v>
      </c>
      <c r="G12" s="3" t="s">
        <v>322</v>
      </c>
      <c r="H12" s="12" t="s">
        <v>369</v>
      </c>
      <c r="I12" s="3" t="s">
        <v>370</v>
      </c>
      <c r="J12" s="3" t="s">
        <v>371</v>
      </c>
      <c r="K12" s="13" t="s">
        <v>372</v>
      </c>
      <c r="L12" s="3" t="s">
        <v>373</v>
      </c>
      <c r="M12" s="3" t="s">
        <v>317</v>
      </c>
      <c r="N12" s="12" t="s">
        <v>374</v>
      </c>
    </row>
    <row r="13" customFormat="false" ht="15" hidden="false" customHeight="false" outlineLevel="0" collapsed="false">
      <c r="A13" s="3" t="s">
        <v>201</v>
      </c>
      <c r="B13" s="3" t="s">
        <v>375</v>
      </c>
      <c r="C13" s="3" t="s">
        <v>376</v>
      </c>
      <c r="D13" s="3" t="s">
        <v>309</v>
      </c>
      <c r="E13" s="46" t="n">
        <f aca="false">Model!C9</f>
        <v>6281.017</v>
      </c>
      <c r="F13" s="45" t="n">
        <f aca="false">E13/Potency</f>
        <v>78.5127125</v>
      </c>
      <c r="G13" s="3" t="s">
        <v>377</v>
      </c>
      <c r="H13" s="12" t="s">
        <v>378</v>
      </c>
      <c r="I13" s="3"/>
      <c r="J13" s="3"/>
      <c r="K13" s="12"/>
      <c r="L13" s="3" t="s">
        <v>379</v>
      </c>
      <c r="M13" s="3" t="s">
        <v>377</v>
      </c>
      <c r="N13" s="12" t="s">
        <v>380</v>
      </c>
    </row>
    <row r="14" customFormat="false" ht="23.85" hidden="false" customHeight="false" outlineLevel="0" collapsed="false">
      <c r="A14" s="3" t="s">
        <v>95</v>
      </c>
      <c r="B14" s="3" t="s">
        <v>381</v>
      </c>
      <c r="C14" s="3" t="s">
        <v>382</v>
      </c>
      <c r="D14" s="3" t="s">
        <v>383</v>
      </c>
      <c r="E14" s="46"/>
      <c r="F14" s="3"/>
      <c r="G14" s="3" t="s">
        <v>322</v>
      </c>
      <c r="H14" s="12" t="s">
        <v>384</v>
      </c>
      <c r="I14" s="3"/>
      <c r="J14" s="3" t="s">
        <v>324</v>
      </c>
      <c r="K14" s="13" t="s">
        <v>385</v>
      </c>
      <c r="L14" s="3" t="s">
        <v>386</v>
      </c>
      <c r="M14" s="3" t="s">
        <v>317</v>
      </c>
      <c r="N14" s="12" t="s">
        <v>387</v>
      </c>
    </row>
    <row r="15" customFormat="false" ht="23.85" hidden="false" customHeight="false" outlineLevel="0" collapsed="false">
      <c r="A15" s="3" t="s">
        <v>201</v>
      </c>
      <c r="B15" s="3" t="s">
        <v>388</v>
      </c>
      <c r="C15" s="3" t="s">
        <v>382</v>
      </c>
      <c r="D15" s="3" t="s">
        <v>383</v>
      </c>
      <c r="E15" s="46"/>
      <c r="F15" s="3"/>
      <c r="G15" s="3" t="s">
        <v>322</v>
      </c>
      <c r="H15" s="12" t="s">
        <v>389</v>
      </c>
      <c r="I15" s="3"/>
      <c r="J15" s="3" t="s">
        <v>390</v>
      </c>
      <c r="K15" s="13" t="s">
        <v>391</v>
      </c>
      <c r="L15" s="3" t="s">
        <v>386</v>
      </c>
      <c r="M15" s="3" t="s">
        <v>317</v>
      </c>
      <c r="N15" s="12" t="s">
        <v>392</v>
      </c>
    </row>
    <row r="16" customFormat="false" ht="35.05" hidden="false" customHeight="false" outlineLevel="0" collapsed="false">
      <c r="A16" s="3" t="s">
        <v>393</v>
      </c>
      <c r="B16" s="3" t="s">
        <v>394</v>
      </c>
      <c r="C16" s="3" t="s">
        <v>382</v>
      </c>
      <c r="D16" s="3" t="s">
        <v>395</v>
      </c>
      <c r="E16" s="46"/>
      <c r="F16" s="3"/>
      <c r="G16" s="3" t="s">
        <v>322</v>
      </c>
      <c r="H16" s="12" t="s">
        <v>396</v>
      </c>
      <c r="I16" s="3" t="s">
        <v>397</v>
      </c>
      <c r="J16" s="3" t="s">
        <v>398</v>
      </c>
      <c r="K16" s="13" t="s">
        <v>399</v>
      </c>
      <c r="L16" s="3" t="s">
        <v>400</v>
      </c>
      <c r="M16" s="3" t="s">
        <v>317</v>
      </c>
      <c r="N16" s="12" t="s">
        <v>401</v>
      </c>
    </row>
    <row r="18" customFormat="false" ht="15" hidden="false" customHeight="false" outlineLevel="0" collapsed="false">
      <c r="A18" s="19" t="s">
        <v>402</v>
      </c>
    </row>
  </sheetData>
  <hyperlinks>
    <hyperlink ref="K4" r:id="rId1" display="http://static.cninfo.com.cn/finalpage/2023-03-02/1216024789.PDF"/>
    <hyperlink ref="K5" r:id="rId2" display="http://static.cninfo.com.cn/finalpage/2023-03-02/1216024789.PDF"/>
    <hyperlink ref="K6" r:id="rId3" display="https://www.echemi.com/cms/114560.html"/>
    <hyperlink ref="K7" r:id="rId4" display="https://www.bseindia.com/xml-data/corpfiling/AttachHis/9e5e419e-6095-47a2-a06e-bf49cfe9a712.pdf"/>
    <hyperlink ref="K8" r:id="rId5" display="https://doi.org/10.1021/acs.oprd.4c00333"/>
    <hyperlink ref="K9" r:id="rId6" display="https://www.afia.org/pub/?id=c9faec10-dada-d077-7081-0e9bd8e1bcee"/>
    <hyperlink ref="K11" r:id="rId7" display="http://static.cninfo.com.cn/finalpage/2023-03-02/1216024789.PDF"/>
    <hyperlink ref="K12" r:id="rId8" display="https://s3.ap-south-1.amazonaws.com/bpwealth-cdn/pdf/1618577883-BP%20Equities_%20Fermenta%20Biotech%20Ltd._Initiating%20Coverage_BUY_Trgt%20402.pdf"/>
    <hyperlink ref="K14" r:id="rId9" display="https://ipsnews.net/business/?p=62618"/>
    <hyperlink ref="K15" r:id="rId10" display="https://www.marketsandmarkets.com/PressReleases/vitamin-d.asp"/>
    <hyperlink ref="K16" r:id="rId11" display="http://publications.europa.eu/resource/celex/32003D0002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"/>
    <col collapsed="false" customWidth="true" hidden="false" outlineLevel="0" max="4" min="3" style="0" width="12"/>
    <col collapsed="false" customWidth="true" hidden="false" outlineLevel="0" max="5" min="5" style="0" width="52"/>
    <col collapsed="false" customWidth="true" hidden="false" outlineLevel="0" max="6" min="6" style="0" width="44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403</v>
      </c>
    </row>
    <row r="3" customFormat="false" ht="15" hidden="false" customHeight="false" outlineLevel="0" collapsed="false">
      <c r="A3" s="9" t="s">
        <v>352</v>
      </c>
      <c r="B3" s="9" t="s">
        <v>27</v>
      </c>
      <c r="C3" s="9" t="s">
        <v>382</v>
      </c>
      <c r="D3" s="9" t="s">
        <v>31</v>
      </c>
      <c r="E3" s="9" t="s">
        <v>194</v>
      </c>
      <c r="F3" s="9" t="s">
        <v>35</v>
      </c>
      <c r="G3" s="9" t="s">
        <v>36</v>
      </c>
    </row>
    <row r="4" customFormat="false" ht="15" hidden="false" customHeight="false" outlineLevel="0" collapsed="false">
      <c r="A4" s="2" t="s">
        <v>404</v>
      </c>
      <c r="B4" s="4" t="s">
        <v>405</v>
      </c>
      <c r="C4" s="18" t="n">
        <v>613.5</v>
      </c>
      <c r="D4" s="4" t="s">
        <v>406</v>
      </c>
      <c r="E4" s="12" t="s">
        <v>407</v>
      </c>
      <c r="F4" s="23" t="s">
        <v>408</v>
      </c>
      <c r="G4" s="4" t="s">
        <v>54</v>
      </c>
    </row>
    <row r="5" customFormat="false" ht="15" hidden="false" customHeight="false" outlineLevel="0" collapsed="false">
      <c r="A5" s="2"/>
      <c r="B5" s="4" t="s">
        <v>409</v>
      </c>
      <c r="C5" s="47" t="n">
        <v>0.3</v>
      </c>
      <c r="D5" s="4" t="s">
        <v>410</v>
      </c>
      <c r="E5" s="12" t="s">
        <v>411</v>
      </c>
      <c r="F5" s="23" t="s">
        <v>412</v>
      </c>
      <c r="G5" s="4" t="s">
        <v>54</v>
      </c>
    </row>
    <row r="6" customFormat="false" ht="15" hidden="false" customHeight="false" outlineLevel="0" collapsed="false">
      <c r="A6" s="2"/>
      <c r="B6" s="4" t="s">
        <v>413</v>
      </c>
      <c r="C6" s="47" t="n">
        <v>0.4</v>
      </c>
      <c r="D6" s="4" t="s">
        <v>410</v>
      </c>
      <c r="E6" s="12" t="s">
        <v>414</v>
      </c>
      <c r="F6" s="23" t="s">
        <v>412</v>
      </c>
      <c r="G6" s="4" t="s">
        <v>54</v>
      </c>
    </row>
    <row r="7" customFormat="false" ht="15" hidden="false" customHeight="false" outlineLevel="0" collapsed="false">
      <c r="A7" s="2"/>
      <c r="B7" s="4" t="s">
        <v>415</v>
      </c>
      <c r="C7" s="30" t="n">
        <f aca="false">C4/C5/FX_RMB</f>
        <v>284.027777777778</v>
      </c>
      <c r="D7" s="4" t="s">
        <v>416</v>
      </c>
      <c r="E7" s="12" t="s">
        <v>417</v>
      </c>
      <c r="F7" s="19"/>
      <c r="G7" s="4" t="s">
        <v>379</v>
      </c>
    </row>
    <row r="8" customFormat="false" ht="15" hidden="false" customHeight="false" outlineLevel="0" collapsed="false">
      <c r="A8" s="2"/>
      <c r="B8" s="4" t="s">
        <v>418</v>
      </c>
      <c r="C8" s="30" t="n">
        <f aca="false">C4/C6/FX_RMB</f>
        <v>213.020833333333</v>
      </c>
      <c r="D8" s="4" t="s">
        <v>416</v>
      </c>
      <c r="E8" s="12" t="s">
        <v>417</v>
      </c>
      <c r="F8" s="19"/>
      <c r="G8" s="4" t="s">
        <v>379</v>
      </c>
    </row>
    <row r="9" customFormat="false" ht="15" hidden="false" customHeight="false" outlineLevel="0" collapsed="false">
      <c r="A9" s="2"/>
      <c r="B9" s="4" t="s">
        <v>419</v>
      </c>
      <c r="C9" s="32" t="n">
        <f aca="false">Model!D22</f>
        <v>212.443111513341</v>
      </c>
      <c r="D9" s="4" t="s">
        <v>416</v>
      </c>
      <c r="E9" s="12" t="s">
        <v>420</v>
      </c>
      <c r="F9" s="19"/>
      <c r="G9" s="4" t="s">
        <v>377</v>
      </c>
    </row>
    <row r="10" customFormat="false" ht="15" hidden="false" customHeight="false" outlineLevel="0" collapsed="false">
      <c r="A10" s="2" t="s">
        <v>421</v>
      </c>
      <c r="B10" s="4" t="s">
        <v>422</v>
      </c>
      <c r="C10" s="18" t="n">
        <v>386</v>
      </c>
      <c r="D10" s="4" t="s">
        <v>406</v>
      </c>
      <c r="E10" s="12" t="s">
        <v>423</v>
      </c>
      <c r="F10" s="23" t="s">
        <v>424</v>
      </c>
      <c r="G10" s="4" t="s">
        <v>425</v>
      </c>
    </row>
    <row r="11" customFormat="false" ht="15" hidden="false" customHeight="false" outlineLevel="0" collapsed="false">
      <c r="A11" s="2"/>
      <c r="B11" s="4" t="s">
        <v>426</v>
      </c>
      <c r="C11" s="30" t="n">
        <f aca="false">C10/C5/FX_RMB22</f>
        <v>192.039800995025</v>
      </c>
      <c r="D11" s="4" t="s">
        <v>416</v>
      </c>
      <c r="E11" s="12" t="s">
        <v>427</v>
      </c>
      <c r="F11" s="19"/>
      <c r="G11" s="4" t="s">
        <v>379</v>
      </c>
    </row>
    <row r="12" customFormat="false" ht="15" hidden="false" customHeight="false" outlineLevel="0" collapsed="false">
      <c r="A12" s="2"/>
      <c r="B12" s="4" t="s">
        <v>428</v>
      </c>
      <c r="C12" s="32" t="n">
        <f aca="false">Model!C22</f>
        <v>94.052008</v>
      </c>
      <c r="D12" s="4" t="s">
        <v>416</v>
      </c>
      <c r="E12" s="12" t="s">
        <v>420</v>
      </c>
      <c r="F12" s="19"/>
      <c r="G12" s="4" t="s">
        <v>377</v>
      </c>
    </row>
    <row r="13" customFormat="false" ht="15" hidden="false" customHeight="false" outlineLevel="0" collapsed="false">
      <c r="A13" s="2" t="s">
        <v>429</v>
      </c>
      <c r="B13" s="4" t="s">
        <v>430</v>
      </c>
      <c r="C13" s="18" t="n">
        <v>292.7</v>
      </c>
      <c r="D13" s="4" t="s">
        <v>431</v>
      </c>
      <c r="E13" s="12" t="s">
        <v>432</v>
      </c>
      <c r="F13" s="23" t="s">
        <v>85</v>
      </c>
      <c r="G13" s="4" t="s">
        <v>54</v>
      </c>
    </row>
    <row r="14" customFormat="false" ht="22.35" hidden="false" customHeight="false" outlineLevel="0" collapsed="false">
      <c r="A14" s="2"/>
      <c r="B14" s="4" t="s">
        <v>433</v>
      </c>
      <c r="C14" s="47" t="n">
        <v>0.25</v>
      </c>
      <c r="D14" s="4" t="s">
        <v>410</v>
      </c>
      <c r="E14" s="12" t="s">
        <v>434</v>
      </c>
      <c r="F14" s="23" t="s">
        <v>372</v>
      </c>
      <c r="G14" s="4" t="s">
        <v>435</v>
      </c>
    </row>
    <row r="15" customFormat="false" ht="15" hidden="false" customHeight="false" outlineLevel="0" collapsed="false">
      <c r="A15" s="2"/>
      <c r="B15" s="4" t="s">
        <v>436</v>
      </c>
      <c r="C15" s="30" t="n">
        <f aca="false">C13*10/FX_INR/C14</f>
        <v>133.045454545455</v>
      </c>
      <c r="D15" s="4" t="s">
        <v>416</v>
      </c>
      <c r="E15" s="12" t="s">
        <v>437</v>
      </c>
      <c r="F15" s="19"/>
      <c r="G15" s="4" t="s">
        <v>379</v>
      </c>
    </row>
    <row r="16" customFormat="false" ht="15" hidden="false" customHeight="false" outlineLevel="0" collapsed="false">
      <c r="A16" s="2"/>
      <c r="B16" s="4" t="s">
        <v>438</v>
      </c>
      <c r="C16" s="32" t="n">
        <f aca="false">Model!D21</f>
        <v>42.728125</v>
      </c>
      <c r="D16" s="4" t="s">
        <v>416</v>
      </c>
      <c r="E16" s="12" t="s">
        <v>439</v>
      </c>
      <c r="F16" s="19"/>
      <c r="G16" s="4" t="s">
        <v>377</v>
      </c>
    </row>
    <row r="17" customFormat="false" ht="15" hidden="false" customHeight="false" outlineLevel="0" collapsed="false">
      <c r="A17" s="2" t="s">
        <v>440</v>
      </c>
      <c r="B17" s="4" t="s">
        <v>441</v>
      </c>
      <c r="C17" s="32" t="n">
        <f aca="false">'Feed index'!B5</f>
        <v>1187.7</v>
      </c>
      <c r="D17" s="4" t="s">
        <v>442</v>
      </c>
      <c r="E17" s="12" t="s">
        <v>443</v>
      </c>
      <c r="F17" s="19"/>
      <c r="G17" s="4" t="s">
        <v>444</v>
      </c>
    </row>
    <row r="18" customFormat="false" ht="15" hidden="false" customHeight="false" outlineLevel="0" collapsed="false">
      <c r="A18" s="2"/>
      <c r="B18" s="4" t="s">
        <v>445</v>
      </c>
      <c r="C18" s="32" t="n">
        <f aca="false">Model!B7/C17</f>
        <v>4.20981729392944</v>
      </c>
      <c r="D18" s="4" t="s">
        <v>446</v>
      </c>
      <c r="E18" s="12" t="s">
        <v>447</v>
      </c>
      <c r="F18" s="19"/>
      <c r="G18" s="4" t="s">
        <v>379</v>
      </c>
    </row>
    <row r="19" customFormat="false" ht="15" hidden="false" customHeight="false" outlineLevel="0" collapsed="false">
      <c r="A19" s="2"/>
      <c r="B19" s="4" t="s">
        <v>448</v>
      </c>
      <c r="C19" s="30" t="n">
        <f aca="false">C18*500</f>
        <v>2104.90864696472</v>
      </c>
      <c r="D19" s="4" t="s">
        <v>449</v>
      </c>
      <c r="E19" s="12" t="s">
        <v>450</v>
      </c>
      <c r="F19" s="19"/>
      <c r="G19" s="4" t="s">
        <v>379</v>
      </c>
    </row>
    <row r="21" customFormat="false" ht="15" hidden="false" customHeight="false" outlineLevel="0" collapsed="false">
      <c r="A21" s="19" t="s">
        <v>451</v>
      </c>
    </row>
  </sheetData>
  <hyperlinks>
    <hyperlink ref="F4" r:id="rId1" display="http://static.cninfo.com.cn/finalpage/2026-04-18/1225116031.PDF"/>
    <hyperlink ref="F5" r:id="rId2" display="http://static.cninfo.com.cn/finalpage/2025-04-07/1223021870.PDF"/>
    <hyperlink ref="F6" r:id="rId3" display="http://static.cninfo.com.cn/finalpage/2025-04-07/1223021870.PDF"/>
    <hyperlink ref="F10" r:id="rId4" display="https://www.lhratings.com/reports/B0648-P66511-2022-GZ2024.pdf"/>
    <hyperlink ref="F13" r:id="rId5" display="https://fermentabiotech.com/wp-content/uploads/2026/09/Annual-Report-2025-26-1.pdf"/>
    <hyperlink ref="F14" r:id="rId6" display="https://s3.ap-south-1.amazonaws.com/bpwealth-cdn/pdf/1618577883-BP%20Equities_%20Fermenta%20Biotech%20Ltd._Initiating%20Coverage_BUY_Trgt%20402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452</v>
      </c>
    </row>
    <row r="3" customFormat="false" ht="23.85" hidden="false" customHeight="false" outlineLevel="0" collapsed="false">
      <c r="A3" s="9" t="s">
        <v>453</v>
      </c>
      <c r="B3" s="9" t="s">
        <v>454</v>
      </c>
      <c r="C3" s="9" t="s">
        <v>455</v>
      </c>
      <c r="D3" s="9" t="s">
        <v>456</v>
      </c>
      <c r="E3" s="9" t="s">
        <v>457</v>
      </c>
      <c r="F3" s="9" t="s">
        <v>458</v>
      </c>
      <c r="G3" s="9" t="s">
        <v>459</v>
      </c>
      <c r="H3" s="9" t="s">
        <v>460</v>
      </c>
    </row>
    <row r="4" customFormat="false" ht="15" hidden="false" customHeight="false" outlineLevel="0" collapsed="false">
      <c r="A4" s="4" t="s">
        <v>461</v>
      </c>
      <c r="B4" s="4" t="s">
        <v>462</v>
      </c>
      <c r="C4" s="48" t="n">
        <v>6.9</v>
      </c>
      <c r="D4" s="43" t="n">
        <v>23944</v>
      </c>
      <c r="E4" s="49" t="n">
        <f aca="false">IF(D4=0,0,C4*1000000/D4)</f>
        <v>288.172402271968</v>
      </c>
      <c r="F4" s="4" t="s">
        <v>463</v>
      </c>
      <c r="G4" s="4" t="s">
        <v>464</v>
      </c>
      <c r="H4" s="23" t="s">
        <v>465</v>
      </c>
    </row>
    <row r="5" customFormat="false" ht="15" hidden="false" customHeight="false" outlineLevel="0" collapsed="false">
      <c r="A5" s="4" t="s">
        <v>461</v>
      </c>
      <c r="B5" s="4" t="s">
        <v>466</v>
      </c>
      <c r="C5" s="48" t="n">
        <v>11.03</v>
      </c>
      <c r="D5" s="43" t="n">
        <v>18433</v>
      </c>
      <c r="E5" s="49" t="n">
        <f aca="false">IF(D5=0,0,C5*1000000/D5)</f>
        <v>598.383334237509</v>
      </c>
      <c r="F5" s="4" t="s">
        <v>463</v>
      </c>
      <c r="G5" s="4" t="s">
        <v>464</v>
      </c>
      <c r="H5" s="23" t="s">
        <v>465</v>
      </c>
    </row>
    <row r="6" customFormat="false" ht="15" hidden="false" customHeight="false" outlineLevel="0" collapsed="false">
      <c r="A6" s="4" t="s">
        <v>461</v>
      </c>
      <c r="B6" s="4" t="s">
        <v>467</v>
      </c>
      <c r="C6" s="48" t="n">
        <v>16.67</v>
      </c>
      <c r="D6" s="43" t="n">
        <v>212562</v>
      </c>
      <c r="E6" s="49" t="n">
        <f aca="false">IF(D6=0,0,C6*1000000/D6)</f>
        <v>78.4241774164714</v>
      </c>
      <c r="F6" s="4" t="s">
        <v>463</v>
      </c>
      <c r="G6" s="4" t="s">
        <v>464</v>
      </c>
      <c r="H6" s="23" t="s">
        <v>465</v>
      </c>
    </row>
    <row r="7" customFormat="false" ht="15" hidden="false" customHeight="false" outlineLevel="0" collapsed="false">
      <c r="A7" s="4" t="s">
        <v>468</v>
      </c>
      <c r="B7" s="4" t="s">
        <v>462</v>
      </c>
      <c r="C7" s="48" t="n">
        <v>17.63</v>
      </c>
      <c r="D7" s="43" t="n">
        <v>114306</v>
      </c>
      <c r="E7" s="49" t="n">
        <f aca="false">IF(D7=0,0,C7*1000000/D7)</f>
        <v>154.23512326562</v>
      </c>
      <c r="F7" s="4" t="s">
        <v>463</v>
      </c>
      <c r="G7" s="4" t="s">
        <v>464</v>
      </c>
      <c r="H7" s="23" t="s">
        <v>469</v>
      </c>
    </row>
    <row r="8" customFormat="false" ht="15" hidden="false" customHeight="false" outlineLevel="0" collapsed="false">
      <c r="A8" s="4" t="s">
        <v>468</v>
      </c>
      <c r="B8" s="4" t="s">
        <v>466</v>
      </c>
      <c r="C8" s="48" t="n">
        <v>16.97</v>
      </c>
      <c r="D8" s="43" t="n">
        <v>106865</v>
      </c>
      <c r="E8" s="49" t="n">
        <f aca="false">IF(D8=0,0,C8*1000000/D8)</f>
        <v>158.798484068685</v>
      </c>
      <c r="F8" s="4" t="s">
        <v>463</v>
      </c>
      <c r="G8" s="4" t="s">
        <v>464</v>
      </c>
      <c r="H8" s="23" t="s">
        <v>469</v>
      </c>
    </row>
    <row r="9" customFormat="false" ht="15" hidden="false" customHeight="false" outlineLevel="0" collapsed="false">
      <c r="A9" s="4" t="s">
        <v>468</v>
      </c>
      <c r="B9" s="4" t="s">
        <v>467</v>
      </c>
      <c r="C9" s="48" t="n">
        <v>29.95</v>
      </c>
      <c r="D9" s="43" t="n">
        <v>201222</v>
      </c>
      <c r="E9" s="49" t="n">
        <f aca="false">IF(D9=0,0,C9*1000000/D9)</f>
        <v>148.840584031567</v>
      </c>
      <c r="F9" s="4" t="s">
        <v>463</v>
      </c>
      <c r="G9" s="4" t="s">
        <v>464</v>
      </c>
      <c r="H9" s="23" t="s">
        <v>469</v>
      </c>
    </row>
    <row r="10" customFormat="false" ht="15" hidden="false" customHeight="false" outlineLevel="0" collapsed="false">
      <c r="A10" s="4" t="s">
        <v>470</v>
      </c>
      <c r="B10" s="4" t="s">
        <v>95</v>
      </c>
      <c r="C10" s="48" t="n">
        <v>11.26287</v>
      </c>
      <c r="D10" s="43" t="n">
        <v>203950</v>
      </c>
      <c r="E10" s="49" t="n">
        <f aca="false">IF(D10=0,0,C10*1000000/D10)</f>
        <v>55.2236822750674</v>
      </c>
      <c r="F10" s="4" t="s">
        <v>471</v>
      </c>
      <c r="G10" s="4" t="s">
        <v>472</v>
      </c>
      <c r="H10" s="23" t="s">
        <v>473</v>
      </c>
    </row>
    <row r="11" customFormat="false" ht="15" hidden="false" customHeight="false" outlineLevel="0" collapsed="false">
      <c r="A11" s="4" t="s">
        <v>470</v>
      </c>
      <c r="B11" s="4" t="s">
        <v>201</v>
      </c>
      <c r="C11" s="48" t="n">
        <v>17.394553</v>
      </c>
      <c r="D11" s="43" t="n">
        <v>136778</v>
      </c>
      <c r="E11" s="49" t="n">
        <f aca="false">IF(D11=0,0,C11*1000000/D11)</f>
        <v>127.173617102166</v>
      </c>
      <c r="F11" s="4" t="s">
        <v>471</v>
      </c>
      <c r="G11" s="4" t="s">
        <v>472</v>
      </c>
      <c r="H11" s="23" t="s">
        <v>473</v>
      </c>
    </row>
    <row r="12" customFormat="false" ht="15" hidden="false" customHeight="false" outlineLevel="0" collapsed="false">
      <c r="A12" s="4" t="s">
        <v>470</v>
      </c>
      <c r="B12" s="4" t="s">
        <v>211</v>
      </c>
      <c r="C12" s="48" t="n">
        <v>14.755015</v>
      </c>
      <c r="D12" s="43" t="n">
        <v>343852</v>
      </c>
      <c r="E12" s="49" t="n">
        <f aca="false">IF(D12=0,0,C12*1000000/D12)</f>
        <v>42.9109471516815</v>
      </c>
      <c r="F12" s="4" t="s">
        <v>471</v>
      </c>
      <c r="G12" s="4" t="s">
        <v>472</v>
      </c>
      <c r="H12" s="23" t="s">
        <v>473</v>
      </c>
    </row>
    <row r="13" customFormat="false" ht="15" hidden="false" customHeight="false" outlineLevel="0" collapsed="false">
      <c r="A13" s="4" t="s">
        <v>470</v>
      </c>
      <c r="B13" s="4" t="s">
        <v>474</v>
      </c>
      <c r="C13" s="48" t="n">
        <v>11.742568</v>
      </c>
      <c r="D13" s="43" t="n">
        <v>206236</v>
      </c>
      <c r="E13" s="49" t="n">
        <f aca="false">IF(D13=0,0,C13*1000000/D13)</f>
        <v>56.9375278806804</v>
      </c>
      <c r="F13" s="4" t="s">
        <v>471</v>
      </c>
      <c r="G13" s="4" t="s">
        <v>472</v>
      </c>
      <c r="H13" s="23" t="s">
        <v>473</v>
      </c>
    </row>
    <row r="15" customFormat="false" ht="15" hidden="false" customHeight="false" outlineLevel="0" collapsed="false">
      <c r="A15" s="19" t="s">
        <v>475</v>
      </c>
    </row>
  </sheetData>
  <hyperlinks>
    <hyperlink ref="H4" r:id="rId1" display="https://tradestat.commerce.gov.in/meidb/commodity_wise_all_countries_import"/>
    <hyperlink ref="H5" r:id="rId2" display="https://tradestat.commerce.gov.in/meidb/commodity_wise_all_countries_import"/>
    <hyperlink ref="H6" r:id="rId3" display="https://tradestat.commerce.gov.in/meidb/commodity_wise_all_countries_import"/>
    <hyperlink ref="H7" r:id="rId4" display="https://tradestat.commerce.gov.in/meidb/commodity_wise_all_countries_export"/>
    <hyperlink ref="H8" r:id="rId5" display="https://tradestat.commerce.gov.in/meidb/commodity_wise_all_countries_export"/>
    <hyperlink ref="H9" r:id="rId6" display="https://tradestat.commerce.gov.in/meidb/commodity_wise_all_countries_export"/>
    <hyperlink ref="H10" r:id="rId7" display="https://comexstat.mdic.gov.br/en/geral"/>
    <hyperlink ref="H11" r:id="rId8" display="https://comexstat.mdic.gov.br/en/geral"/>
    <hyperlink ref="H12" r:id="rId9" display="https://comexstat.mdic.gov.br/en/geral"/>
    <hyperlink ref="H13" r:id="rId10" display="https://comexstat.mdic.gov.br/en/gera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2026-10-21T15:01:49Z</dcterms:created>
  <dc:creator>openpyxl</dc:creator>
  <dc:description/>
  <dc:language>en-US</dc:language>
  <cp:lastModifiedBy/>
  <dcterms:modified xsi:type="dcterms:W3CDTF">2026-10-21T15:01:49Z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