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eport_Map" sheetId="2" state="visible" r:id="rId4"/>
    <sheet name="Assumptions" sheetId="3" state="visible" r:id="rId5"/>
    <sheet name="CMS_PL" sheetId="4" state="visible" r:id="rId6"/>
    <sheet name="ASP_per_vial" sheetId="5" state="visible" r:id="rId7"/>
    <sheet name="ASP_growth" sheetId="6" state="visible" r:id="rId8"/>
    <sheet name="Pfizer_WAC" sheetId="7" state="visible" r:id="rId9"/>
    <sheet name="NADAC" sheetId="8" state="visible" r:id="rId10"/>
    <sheet name="SDUD_NDC_data" sheetId="9" state="visible" r:id="rId11"/>
    <sheet name="Medicaid_SDUD" sheetId="10" state="visible" r:id="rId12"/>
    <sheet name="CMS_Spending" sheetId="11" state="visible" r:id="rId13"/>
    <sheet name="Market_Size" sheetId="12" state="visible" r:id="rId14"/>
    <sheet name="Timing" sheetId="13" state="visible" r:id="rId15"/>
    <sheet name="Sources" sheetId="14" state="visible" r:id="rId16"/>
  </sheets>
  <definedNames>
    <definedName function="false" hidden="true" localSheetId="8" name="_xlnm._FilterDatabase" vbProcedure="false">SDUD_NDC_data!$A$5:$I$742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<sst xmlns="http://schemas.openxmlformats.org/spreadsheetml/2006/main" count="6804" uniqueCount="1036">
  <si>
    <t xml:space="preserve">Symbiotec DCV: Solu-Medrol vs Solu-Cortef calculations</t>
  </si>
  <si>
    <t xml:space="preserve">Companion workbook to the report 'Pfizer-only Cortef vials anchor Symbiotec's DCV case'. Data as of 21 October 2026.</t>
  </si>
  <si>
    <t xml:space="preserve">Colour legend</t>
  </si>
  <si>
    <t xml:space="preserve">Input</t>
  </si>
  <si>
    <t xml:space="preserve">Blue text: hard-coded input copied from a cited source (source ID in the row or column note)</t>
  </si>
  <si>
    <t xml:space="preserve">Formula</t>
  </si>
  <si>
    <t xml:space="preserve">Black text: formula calculated in this workbook</t>
  </si>
  <si>
    <t xml:space="preserve">Link</t>
  </si>
  <si>
    <t xml:space="preserve">Green text: formula linking to another sheet</t>
  </si>
  <si>
    <t xml:space="preserve">Assumption</t>
  </si>
  <si>
    <t xml:space="preserve">Yellow fill: analyst assumption to review or change</t>
  </si>
  <si>
    <t xml:space="preserve">Sheets</t>
  </si>
  <si>
    <t xml:space="preserve">Sheet</t>
  </si>
  <si>
    <t xml:space="preserve">What it calculates</t>
  </si>
  <si>
    <t xml:space="preserve">Report section</t>
  </si>
  <si>
    <t xml:space="preserve">Report_Map</t>
  </si>
  <si>
    <t xml:space="preserve">Every number quoted in the report, linked live to the cell that calculates it</t>
  </si>
  <si>
    <t xml:space="preserve">All</t>
  </si>
  <si>
    <t xml:space="preserve">Assumptions</t>
  </si>
  <si>
    <t xml:space="preserve">ASP divisor, billing units per vial, code-change quarter, FX, review clock, key dates</t>
  </si>
  <si>
    <t xml:space="preserve">CMS_PL</t>
  </si>
  <si>
    <t xml:space="preserve">Input: Part B payment limit per billing unit by HCPCS code, Q1 2016 to Q4 2026</t>
  </si>
  <si>
    <t xml:space="preserve">ASP</t>
  </si>
  <si>
    <t xml:space="preserve">ASP_per_vial</t>
  </si>
  <si>
    <t xml:space="preserve">Implied ASP per vial = payment limit x billing units / 1.06; quarterly and annual averages</t>
  </si>
  <si>
    <t xml:space="preserve">ASP_growth</t>
  </si>
  <si>
    <t xml:space="preserve">Peaks, 1y change, 3y and 5y CAGRs, quarter-on-quarter moves</t>
  </si>
  <si>
    <t xml:space="preserve">Pfizer_WAC</t>
  </si>
  <si>
    <t xml:space="preserve">Pfizer list price per vial by presentation and date; Jul 2024 to Jul 2026 changes; 2025 Solu-Medrol cuts; ASP vs WAC</t>
  </si>
  <si>
    <t xml:space="preserve">Price points</t>
  </si>
  <si>
    <t xml:space="preserve">NADAC</t>
  </si>
  <si>
    <t xml:space="preserve">Retail acquisition cost; generic as % of brand</t>
  </si>
  <si>
    <t xml:space="preserve">SDUD_NDC_data</t>
  </si>
  <si>
    <t xml:space="preserve">Input: Medicaid prescriptions, units and dollars by NDC and year (aggregated from SDUD national rows)</t>
  </si>
  <si>
    <t xml:space="preserve">Share proxies</t>
  </si>
  <si>
    <t xml:space="preserve">Medicaid_SDUD</t>
  </si>
  <si>
    <t xml:space="preserve">Prescription shares by labeler and strength, HSS large-vial slice, 250 mg billing-unit drag</t>
  </si>
  <si>
    <t xml:space="preserve">CMS_Spending</t>
  </si>
  <si>
    <t xml:space="preserve">Part D and Medicaid Spending by Drug 2024; Part B volume and spend per unit; HSS vs MPSS spend ratios</t>
  </si>
  <si>
    <t xml:space="preserve">Share proxies; market size</t>
  </si>
  <si>
    <t xml:space="preserve">Market_Size</t>
  </si>
  <si>
    <t xml:space="preserve">Market-size figures, ICICI estimates in US$, Pfizer Medrol revenue, capacity cross-check</t>
  </si>
  <si>
    <t xml:space="preserve">Market size; implications</t>
  </si>
  <si>
    <t xml:space="preserve">Timing</t>
  </si>
  <si>
    <t xml:space="preserve">Earliest approval date on the 10-month review goal; CGT exclusivity end; months since approvals</t>
  </si>
  <si>
    <t xml:space="preserve">Sources</t>
  </si>
  <si>
    <t xml:space="preserve">Every source used in this workbook, with links</t>
  </si>
  <si>
    <t xml:space="preserve">Method notes</t>
  </si>
  <si>
    <t xml:space="preserve">- Medicare Part B pays ASP + 6% for these multi-source drugs, so implied ASP = CMS payment limit / 1.06 (divisor in Assumptions).</t>
  </si>
  <si>
    <t xml:space="preserve">- CMS replaced J2920/J2930 (MPSS) with J2919 (per 5 mg) and J1020/J1030/J1040 (MPA) with J1010 (per 1 mg) from Q2 2024. Per-vial series for MPSS and MPA switch codes at that quarter, so do not splice growth across it.</t>
  </si>
  <si>
    <t xml:space="preserve">- Medicaid SDUD is outpatient and pre-rebate. Use prescription share for direction, not as true market share. 2026 SDUD covers Q1 only.</t>
  </si>
  <si>
    <t xml:space="preserve">- SDUD_NDC_data was aggregated in Python from the national rows of the SDUD annual files for every NDC RxNorm links to these molecules. All shares on Medicaid_SDUD are recomputed here with SUMIFS on that table.</t>
  </si>
  <si>
    <t xml:space="preserve">- Payment limits, list prices, NADAC and CMS spending figures are copied from the cited files without adjustment.</t>
  </si>
  <si>
    <t xml:space="preserve">Report figures linked to their calculations</t>
  </si>
  <si>
    <t xml:space="preserve">Each value is a live link. 'Report value' is what the Word report states; 'Check' compares to the rounding shown in the report.</t>
  </si>
  <si>
    <t xml:space="preserve">Figure</t>
  </si>
  <si>
    <t xml:space="preserve">Workbook value</t>
  </si>
  <si>
    <t xml:space="preserve">Report value</t>
  </si>
  <si>
    <t xml:space="preserve">Check</t>
  </si>
  <si>
    <t xml:space="preserve">Calculated on</t>
  </si>
  <si>
    <t xml:space="preserve">Summary / ASP</t>
  </si>
  <si>
    <t xml:space="preserve">MPSS 125 mg implied ASP per vial, old-code peak (Q3 2018)</t>
  </si>
  <si>
    <t xml:space="preserve">MPSS 125 mg implied ASP per vial, new-code (J2919) peak (Q4 2024)</t>
  </si>
  <si>
    <t xml:space="preserve">MPSS 125 mg implied ASP per vial, Q4 2026</t>
  </si>
  <si>
    <t xml:space="preserve">HSS 100 mg implied ASP per vial, Q4 2026</t>
  </si>
  <si>
    <t xml:space="preserve">HSS 250 mg implied ASP per vial, Q4 2026 (2.5 units)</t>
  </si>
  <si>
    <t xml:space="preserve">HSS 250 mg implied ASP per vial, Q4 2026 (3 units)</t>
  </si>
  <si>
    <t xml:space="preserve">HSS 500 mg implied ASP per vial, Q4 2026</t>
  </si>
  <si>
    <t xml:space="preserve">HSS 1 g implied ASP per vial, Q4 2026</t>
  </si>
  <si>
    <t xml:space="preserve">J1720 payment-limit CAGR, Q1 2016 to Q4 2026 (~11%)</t>
  </si>
  <si>
    <t xml:space="preserve">HSS 100 mg 1y change</t>
  </si>
  <si>
    <t xml:space="preserve">HSS 100 mg 5y CAGR</t>
  </si>
  <si>
    <t xml:space="preserve">MPSS 125 mg 1y change (off Q4 2025 trough)</t>
  </si>
  <si>
    <t xml:space="preserve">MPSS 125 mg 5y CAGR (crosses recode)</t>
  </si>
  <si>
    <t xml:space="preserve">MPSS 40 mg ASP, Q1 2024 (last old code)</t>
  </si>
  <si>
    <t xml:space="preserve">MPSS 40 mg ASP, Q2 2024 (first new code)</t>
  </si>
  <si>
    <t xml:space="preserve">MPSS 125 mg change Q1 2016 to Q3 2018</t>
  </si>
  <si>
    <t xml:space="preserve">MPSS 40 mg change Q1 2016 to Q3 2018</t>
  </si>
  <si>
    <t xml:space="preserve">J2919 change Q2 2024 to Q4 2026</t>
  </si>
  <si>
    <t xml:space="preserve">J2919 change in Q4 2025</t>
  </si>
  <si>
    <t xml:space="preserve">J2919 change in Q1 2026</t>
  </si>
  <si>
    <t xml:space="preserve">J2919 implied ASP per 5 mg, 2025 average</t>
  </si>
  <si>
    <t xml:space="preserve">J2919 implied ASP per 5 mg, 2026 average</t>
  </si>
  <si>
    <t xml:space="preserve">J1720 change in Q3 2017</t>
  </si>
  <si>
    <t xml:space="preserve">J1720 change in Q3 2022</t>
  </si>
  <si>
    <t xml:space="preserve">J1720 largest quarterly fall (report: never 10% or more)</t>
  </si>
  <si>
    <t xml:space="preserve">MPA 40 mg/mL change Q2 2024 to Q4 2026 (J1010)</t>
  </si>
  <si>
    <t xml:space="preserve">MPA 40 mg/mL implied ASP per vial, Q4 2026</t>
  </si>
  <si>
    <t xml:space="preserve">MPA 80 mg/mL implied ASP per vial, Q4 2026</t>
  </si>
  <si>
    <t xml:space="preserve">Solu-Cortef WAC change Jul-24 to Jul-26: low end (single vials)</t>
  </si>
  <si>
    <t xml:space="preserve">Solu-Cortef WAC change Jul-24 to Jul-26: high end (single vials)</t>
  </si>
  <si>
    <t xml:space="preserve">Solu-Cortef WAC change Jul-24 to Jul-26: 25-pack low end</t>
  </si>
  <si>
    <t xml:space="preserve">Solu-Medrol largest mid-2025 WAC cut (1 g multi-dose vial)</t>
  </si>
  <si>
    <t xml:space="preserve">Solu-Medrol smallest mid-2025 WAC cut</t>
  </si>
  <si>
    <t xml:space="preserve">Solu-Medrol lines cut in mid-2025</t>
  </si>
  <si>
    <t xml:space="preserve">Solu-Medrol 40 mg Act-O-Vial line A cut</t>
  </si>
  <si>
    <t xml:space="preserve">Solu-Medrol 40 mg Act-O-Vial line C cut</t>
  </si>
  <si>
    <t xml:space="preserve">Solu-Medrol 125 mg Act-O-Vial line A cut</t>
  </si>
  <si>
    <t xml:space="preserve">Solu-Medrol 125 mg Act-O-Vial line C cut</t>
  </si>
  <si>
    <t xml:space="preserve">J1720 ASP as % of 100 mg Act-O-Vial WAC</t>
  </si>
  <si>
    <t xml:space="preserve">J1720 ASP as % of 100 mg plain-vial WAC</t>
  </si>
  <si>
    <t xml:space="preserve">Implied ASP / WAC, HSS 1 g</t>
  </si>
  <si>
    <t xml:space="preserve">HSS 1 g WAC / 100 mg plain-vial WAC</t>
  </si>
  <si>
    <t xml:space="preserve">Generic MPSS 125 mg NADAC as % of brand</t>
  </si>
  <si>
    <t xml:space="preserve">Generic HSS 100 mg NADAC as % of brand Act-O-Vial</t>
  </si>
  <si>
    <t xml:space="preserve">Generic HSS 100 mg NADAC as % of brand plain vial</t>
  </si>
  <si>
    <t xml:space="preserve">Pfizer share of Medicaid MPSS Rx, 2018</t>
  </si>
  <si>
    <t xml:space="preserve">Pfizer share of Medicaid MPSS Rx, 2025</t>
  </si>
  <si>
    <t xml:space="preserve">Pfizer share of Medicaid MPSS Rx, Q1 2026</t>
  </si>
  <si>
    <t xml:space="preserve">Dr. Reddy's share of Medicaid MPSS Rx, 2022</t>
  </si>
  <si>
    <t xml:space="preserve">Dr. Reddy's share of Medicaid MPSS Rx, Q1 2026</t>
  </si>
  <si>
    <t xml:space="preserve">Fresenius Kabi share of Medicaid MPSS Rx, Q1 2026</t>
  </si>
  <si>
    <t xml:space="preserve">Pfizer share of Medicaid HSS Rx, 2025</t>
  </si>
  <si>
    <t xml:space="preserve">Pfizer share of Medicaid HSS Rx, Q1 2026</t>
  </si>
  <si>
    <t xml:space="preserve">Cipla share of Medicaid HSS Rx, Q1 2026</t>
  </si>
  <si>
    <t xml:space="preserve">Pfizer share of Medicaid MPA Rx, Q1 2026</t>
  </si>
  <si>
    <t xml:space="preserve">Teva share of Medicaid MPA Rx, 2021</t>
  </si>
  <si>
    <t xml:space="preserve">HSS 250 mg-1 g prescriptions, 2025</t>
  </si>
  <si>
    <t xml:space="preserve">HSS 250 mg-1 g share of HSS Medicaid Rx, 2025</t>
  </si>
  <si>
    <t xml:space="preserve">HSS 250 mg-1 g share of HSS Medicaid US$, 2025</t>
  </si>
  <si>
    <t xml:space="preserve">ASP caveats</t>
  </si>
  <si>
    <t xml:space="preserve">J1720 drag if 250 mg counts as 3 units</t>
  </si>
  <si>
    <t xml:space="preserve">Part D: Solu-Medrol share of MPSS claims, 2024</t>
  </si>
  <si>
    <t xml:space="preserve">Part D: Dr. Reddy's share of MPSS claims, 2024</t>
  </si>
  <si>
    <t xml:space="preserve">Part D: Fresenius share of MPSS claims, 2024</t>
  </si>
  <si>
    <t xml:space="preserve">Part D: Solu-Cortef share of HSS claims, 2024</t>
  </si>
  <si>
    <t xml:space="preserve">Part D: Depo-Medrol share of MPA claims, 2024</t>
  </si>
  <si>
    <t xml:space="preserve">Part D: Amneal share of MPA claims, 2024</t>
  </si>
  <si>
    <t xml:space="preserve">Part D: generic MPSS spend per unit, 2024</t>
  </si>
  <si>
    <t xml:space="preserve">Part D: brand MPSS spend per unit, 2024</t>
  </si>
  <si>
    <t xml:space="preserve">Medicaid Spending by Drug: MPSS brand share of US$, 2024</t>
  </si>
  <si>
    <t xml:space="preserve">Part B: J1720 average spend per unit, 2016</t>
  </si>
  <si>
    <t xml:space="preserve">Part B: J1720 average spend per unit, 2024</t>
  </si>
  <si>
    <t xml:space="preserve">Part B: J1720 dosage units, 2016</t>
  </si>
  <si>
    <t xml:space="preserve">Part B: J1720 dosage units, 2024</t>
  </si>
  <si>
    <t xml:space="preserve">Market size</t>
  </si>
  <si>
    <t xml:space="preserve">Part B FFS: HSS / MPSS spend, 2023</t>
  </si>
  <si>
    <t xml:space="preserve">Medicaid gross: HSS / MPSS spend, 2024</t>
  </si>
  <si>
    <t xml:space="preserve">Part D: HSS / MPSS spend, 2024</t>
  </si>
  <si>
    <t xml:space="preserve">ICICI FY29E complex injectables in US$ mn</t>
  </si>
  <si>
    <t xml:space="preserve">ICICI FY29E as % of US$288 mn</t>
  </si>
  <si>
    <t xml:space="preserve">Pfizer US Medrol revenue change, 2018 to 2023</t>
  </si>
  <si>
    <t xml:space="preserve">Implications</t>
  </si>
  <si>
    <t xml:space="preserve">Mhow capacity as % of US MPSS vial-equivalents (rough)</t>
  </si>
  <si>
    <t xml:space="preserve">Earliest FDA action on first DCV ANDA</t>
  </si>
  <si>
    <t xml:space="preserve">Fiscal year of earliest action</t>
  </si>
  <si>
    <t xml:space="preserve">FY28</t>
  </si>
  <si>
    <t xml:space="preserve">Cipla CGT exclusivity end</t>
  </si>
  <si>
    <t xml:space="preserve">Months from Cipla approval to report date (report: 25)</t>
  </si>
  <si>
    <t xml:space="preserve">Assumptions and conversion factors</t>
  </si>
  <si>
    <t xml:space="preserve">Parameter</t>
  </si>
  <si>
    <t xml:space="preserve">Value</t>
  </si>
  <si>
    <t xml:space="preserve">Unit</t>
  </si>
  <si>
    <t xml:space="preserve">Source / note</t>
  </si>
  <si>
    <t xml:space="preserve">ASP add-on divisor (payment limit = ASP x 1.06)</t>
  </si>
  <si>
    <t xml:space="preserve">x</t>
  </si>
  <si>
    <t xml:space="preserve">S01: Medicare Part B pays ASP + 6% for multi-source drugs; inflation-rebate coinsurance column reads 20% in every quarter used</t>
  </si>
  <si>
    <t xml:space="preserve">First quarter of new codes J2919 / J1010: year</t>
  </si>
  <si>
    <t xml:space="preserve">year</t>
  </si>
  <si>
    <t xml:space="preserve">S04: J2919 and J1010 first appear in the April 2024 CMS file</t>
  </si>
  <si>
    <t xml:space="preserve">First quarter of new codes: quarter number</t>
  </si>
  <si>
    <t xml:space="preserve">quarter</t>
  </si>
  <si>
    <t xml:space="preserve">S04</t>
  </si>
  <si>
    <t xml:space="preserve">Cutover quarter index</t>
  </si>
  <si>
    <t xml:space="preserve">index</t>
  </si>
  <si>
    <t xml:space="preserve">Formula: year + (quarter - 1) / 4</t>
  </si>
  <si>
    <t xml:space="preserve">FX rate</t>
  </si>
  <si>
    <t xml:space="preserve">INR per US$</t>
  </si>
  <si>
    <t xml:space="preserve">Analyst assumption used only to convert ICICI's INR estimates; update as needed</t>
  </si>
  <si>
    <t xml:space="preserve">FDA review goal, standard original ANDA</t>
  </si>
  <si>
    <t xml:space="preserve">months</t>
  </si>
  <si>
    <t xml:space="preserve">S09: GDUFA III, act on 90% of standard original ANDAs within 10 months of submission</t>
  </si>
  <si>
    <t xml:space="preserve">Symbiotec first DCV ANDA filing date</t>
  </si>
  <si>
    <t xml:space="preserve">date</t>
  </si>
  <si>
    <t xml:space="preserve">S25 slide 5: filed 'September 2026'. Day not disclosed; 1st of month assumed</t>
  </si>
  <si>
    <t xml:space="preserve">Second DCV ANDA filing window: start</t>
  </si>
  <si>
    <t xml:space="preserve">S25 slide 5: 'scheduled for Q4 FY27' (Jan-Mar 2027)</t>
  </si>
  <si>
    <t xml:space="preserve">Second DCV ANDA filing window: end</t>
  </si>
  <si>
    <t xml:space="preserve">S25 slide 5</t>
  </si>
  <si>
    <t xml:space="preserve">CGT exclusivity period</t>
  </si>
  <si>
    <t xml:space="preserve">days</t>
  </si>
  <si>
    <t xml:space="preserve">S08: 180-day competitive generic therapy exclusivity</t>
  </si>
  <si>
    <t xml:space="preserve">Cipla HSS first commercial marketing</t>
  </si>
  <si>
    <t xml:space="preserve">S08: FDA CGT list</t>
  </si>
  <si>
    <t xml:space="preserve">Cipla HSS ANDA 214050 approval</t>
  </si>
  <si>
    <t xml:space="preserve">S05: Orange Book</t>
  </si>
  <si>
    <t xml:space="preserve">Report as-of date</t>
  </si>
  <si>
    <t xml:space="preserve">Date the data were pulled</t>
  </si>
  <si>
    <t xml:space="preserve">Billing units per vial (CMS NDC-HCPCS crosswalk convention)</t>
  </si>
  <si>
    <t xml:space="preserve">Vial</t>
  </si>
  <si>
    <t xml:space="preserve">Old code (to Q1 2024)</t>
  </si>
  <si>
    <t xml:space="preserve">Old units per vial</t>
  </si>
  <si>
    <t xml:space="preserve">New code (from Q2 2024)</t>
  </si>
  <si>
    <t xml:space="preserve">New units per vial</t>
  </si>
  <si>
    <t xml:space="preserve">MPSS 40 mg</t>
  </si>
  <si>
    <t xml:space="preserve">J2920</t>
  </si>
  <si>
    <t xml:space="preserve">J2919</t>
  </si>
  <si>
    <t xml:space="preserve">J2920 = up to 40 mg; J2919 = 5 mg. S01, S04</t>
  </si>
  <si>
    <t xml:space="preserve">MPSS 125 mg</t>
  </si>
  <si>
    <t xml:space="preserve">J2930</t>
  </si>
  <si>
    <t xml:space="preserve">J2930 = up to 125 mg. S01, S04</t>
  </si>
  <si>
    <t xml:space="preserve">MPSS 500 mg</t>
  </si>
  <si>
    <t xml:space="preserve">S01, S04</t>
  </si>
  <si>
    <t xml:space="preserve">MPSS 1 g</t>
  </si>
  <si>
    <t xml:space="preserve">MPSS 2 g</t>
  </si>
  <si>
    <t xml:space="preserve">HSS 100 mg</t>
  </si>
  <si>
    <t xml:space="preserve">J1720</t>
  </si>
  <si>
    <t xml:space="preserve">J1720 = up to 100 mg. S03</t>
  </si>
  <si>
    <t xml:space="preserve">HSS 250 mg (2.5 units)</t>
  </si>
  <si>
    <t xml:space="preserve">CMS crosswalk convention through Q3 2026. S01</t>
  </si>
  <si>
    <t xml:space="preserve">HSS 250 mg (3 units)</t>
  </si>
  <si>
    <t xml:space="preserve">October 2026 crosswalk convention ('UP TO 100 MG'). S03</t>
  </si>
  <si>
    <t xml:space="preserve">HSS 500 mg</t>
  </si>
  <si>
    <t xml:space="preserve">S03</t>
  </si>
  <si>
    <t xml:space="preserve">HSS 1 g</t>
  </si>
  <si>
    <t xml:space="preserve">MPA 40 mg/mL 1 mL</t>
  </si>
  <si>
    <t xml:space="preserve">J1030</t>
  </si>
  <si>
    <t xml:space="preserve">J1010</t>
  </si>
  <si>
    <t xml:space="preserve">J1030 = 40 mg; J1010 = 1 mg. S01, S04</t>
  </si>
  <si>
    <t xml:space="preserve">MPA 80 mg/mL 1 mL</t>
  </si>
  <si>
    <t xml:space="preserve">J1040</t>
  </si>
  <si>
    <t xml:space="preserve">J1040 = 80 mg. S01, S04</t>
  </si>
  <si>
    <t xml:space="preserve">Input: CMS Part B payment limit per billing unit (US$)</t>
  </si>
  <si>
    <t xml:space="preserve">Source S01 (each quarter's pricing file, URL in column N). Values copied unchanged.</t>
  </si>
  <si>
    <t xml:space="preserve">Quarter</t>
  </si>
  <si>
    <t xml:space="preserve">Year</t>
  </si>
  <si>
    <t xml:space="preserve">Qtr</t>
  </si>
  <si>
    <t xml:space="preserve">Quarter index</t>
  </si>
  <si>
    <t xml:space="preserve">J2920
MPSS up to 40 mg</t>
  </si>
  <si>
    <t xml:space="preserve">J2930
MPSS up to 125 mg</t>
  </si>
  <si>
    <t xml:space="preserve">J2919
MPSS per 5 mg</t>
  </si>
  <si>
    <t xml:space="preserve">J1720
HSS up to 100 mg</t>
  </si>
  <si>
    <t xml:space="preserve">J1030
MPA 40 mg</t>
  </si>
  <si>
    <t xml:space="preserve">J1040
MPA 80 mg</t>
  </si>
  <si>
    <t xml:space="preserve">J1010
MPA per 1 mg</t>
  </si>
  <si>
    <t xml:space="preserve">J1020
MPA 20 mg</t>
  </si>
  <si>
    <t xml:space="preserve">ASP sales quarter</t>
  </si>
  <si>
    <t xml:space="preserve">Payment-limit file (CMS)</t>
  </si>
  <si>
    <t xml:space="preserve">2016-Q1</t>
  </si>
  <si>
    <t xml:space="preserve">2016</t>
  </si>
  <si>
    <t xml:space="preserve">3Q15</t>
  </si>
  <si>
    <t xml:space="preserve">https://www.cms.gov/Medicare/Medicare-Fee-for-Service-Part-B-Drugs/McrPartBDrugAvgSalesPrice/downloads/2016-January-ASP-Pricing-File.zip</t>
  </si>
  <si>
    <t xml:space="preserve">2016-Q2</t>
  </si>
  <si>
    <t xml:space="preserve">4Q15</t>
  </si>
  <si>
    <t xml:space="preserve">https://www.cms.gov/Medicare/Medicare-Fee-for-Service-Part-B-Drugs/McrPartBDrugAvgSalesPrice/downloads/2016-April-ASP-Pricing-File.zip</t>
  </si>
  <si>
    <t xml:space="preserve">2016-Q3</t>
  </si>
  <si>
    <t xml:space="preserve">1Q16</t>
  </si>
  <si>
    <t xml:space="preserve">https://www.cms.gov/Medicare/Medicare-Fee-for-Service-Part-B-Drugs/McrPartBDrugAvgSalesPrice/Downloads/2016-July-ASP-Pricing-File.zip</t>
  </si>
  <si>
    <t xml:space="preserve">2016-Q4</t>
  </si>
  <si>
    <t xml:space="preserve">2Q16</t>
  </si>
  <si>
    <t xml:space="preserve">https://www.cms.gov/Medicare/Medicare-Fee-for-Service-Part-B-Drugs/McrPartBDrugAvgSalesPrice/Downloads/2016-October-ASP-Pricing-File.zip</t>
  </si>
  <si>
    <t xml:space="preserve">2017-Q1</t>
  </si>
  <si>
    <t xml:space="preserve">2017</t>
  </si>
  <si>
    <t xml:space="preserve">3Q16</t>
  </si>
  <si>
    <t xml:space="preserve">https://www.cms.gov/Medicare/Medicare-Fee-for-Service-Part-B-Drugs/McrPartBDrugAvgSalesPrice/Downloads/2017-January-ASP-Pricing-Files.zip</t>
  </si>
  <si>
    <t xml:space="preserve">2017-Q2</t>
  </si>
  <si>
    <t xml:space="preserve">4Q16</t>
  </si>
  <si>
    <t xml:space="preserve">https://www.cms.gov/Medicare/Medicare-Fee-for-Service-Part-B-Drugs/McrPartBDrugAvgSalesPrice/Downloads/2017-April-ASP-Pricing.zip</t>
  </si>
  <si>
    <t xml:space="preserve">2017-Q3</t>
  </si>
  <si>
    <t xml:space="preserve">1Q17</t>
  </si>
  <si>
    <t xml:space="preserve">https://www.cms.gov/Medicare/Medicare-Fee-for-Service-Part-B-Drugs/McrPartBDrugAvgSalesPrice/Downloads/2017-July-ASP-Pricing-File.zip</t>
  </si>
  <si>
    <t xml:space="preserve">2017-Q4</t>
  </si>
  <si>
    <t xml:space="preserve">2Q17</t>
  </si>
  <si>
    <t xml:space="preserve">https://www.cms.gov/Medicare/Medicare-Fee-for-Service-Part-B-Drugs/McrPartBDrugAvgSalesPrice/Downloads/2017-October-ASP-Pricing-File.zip</t>
  </si>
  <si>
    <t xml:space="preserve">2018-Q1</t>
  </si>
  <si>
    <t xml:space="preserve">2018</t>
  </si>
  <si>
    <t xml:space="preserve">3Q17</t>
  </si>
  <si>
    <t xml:space="preserve">https://www.cms.gov/Medicare/Medicare-Fee-for-Service-Part-B-Drugs/McrPartBDrugAvgSalesPrice/Downloads/2018-January-ASP-Pricing-File.zip</t>
  </si>
  <si>
    <t xml:space="preserve">2018-Q2</t>
  </si>
  <si>
    <t xml:space="preserve">4Q17</t>
  </si>
  <si>
    <t xml:space="preserve">https://www.cms.gov/Medicare/Medicare-Fee-for-Service-Part-B-Drugs/McrPartBDrugAvgSalesPrice/Downloads/2018-April-ASP-Pricing-File.zip</t>
  </si>
  <si>
    <t xml:space="preserve">2018-Q3</t>
  </si>
  <si>
    <t xml:space="preserve">1Q18</t>
  </si>
  <si>
    <t xml:space="preserve">https://www.cms.gov/Medicare/Medicare-Fee-for-Service-Part-B-Drugs/McrPartBDrugAvgSalesPrice/Downloads/2018-July-ASP-Pricing-File.zip</t>
  </si>
  <si>
    <t xml:space="preserve">2018-Q4</t>
  </si>
  <si>
    <t xml:space="preserve">2Q18</t>
  </si>
  <si>
    <t xml:space="preserve">https://www.cms.gov/Medicare/Medicare-Fee-for-Service-Part-B-Drugs/McrPartBDrugAvgSalesPrice/Downloads/2018-Oct-ASP-Pricing-File.zip</t>
  </si>
  <si>
    <t xml:space="preserve">2019-Q1</t>
  </si>
  <si>
    <t xml:space="preserve">2019</t>
  </si>
  <si>
    <t xml:space="preserve">3Q18</t>
  </si>
  <si>
    <t xml:space="preserve">https://www.cms.gov/Medicare/Medicare-Fee-for-Service-Part-B-Drugs/McrPartBDrugAvgSalesPrice/Downloads/2019-January-ASP-Pricing-File.zip</t>
  </si>
  <si>
    <t xml:space="preserve">2019-Q2</t>
  </si>
  <si>
    <t xml:space="preserve">4Q18</t>
  </si>
  <si>
    <t xml:space="preserve">https://www.cms.gov/Medicare/Medicare-Fee-for-Service-Part-B-Drugs/McrPartBDrugAvgSalesPrice/downloads/April-2019-ASP-Pricing-File.zip</t>
  </si>
  <si>
    <t xml:space="preserve">2019-Q3</t>
  </si>
  <si>
    <t xml:space="preserve">1Q19</t>
  </si>
  <si>
    <t xml:space="preserve">https://www.cms.gov/Medicare/Medicare-Fee-for-Service-Part-B-Drugs/McrPartBDrugAvgSalesPrice/Downloads/2019-July-ASP-Pricing-File.zip</t>
  </si>
  <si>
    <t xml:space="preserve">2019-Q4</t>
  </si>
  <si>
    <t xml:space="preserve">2Q19</t>
  </si>
  <si>
    <t xml:space="preserve">https://www.cms.gov/Medicare/Medicare-Fee-for-Service-Part-B-Drugs/McrPartBDrugAvgSalesPrice/downloads/2019-Oct-ASP-Pricing-File.zip</t>
  </si>
  <si>
    <t xml:space="preserve">2020-Q1</t>
  </si>
  <si>
    <t xml:space="preserve">2020</t>
  </si>
  <si>
    <t xml:space="preserve">3Q19</t>
  </si>
  <si>
    <t xml:space="preserve">https://www.cms.gov/files/zip/january-2020-asp-pricing-file.zip</t>
  </si>
  <si>
    <t xml:space="preserve">2020-Q2</t>
  </si>
  <si>
    <t xml:space="preserve">4Q19</t>
  </si>
  <si>
    <t xml:space="preserve">https://www.cms.gov/files/zip/april-2020-asp-pricing-file.zip</t>
  </si>
  <si>
    <t xml:space="preserve">2020-Q3</t>
  </si>
  <si>
    <t xml:space="preserve">1Q20</t>
  </si>
  <si>
    <t xml:space="preserve">https://www.cms.gov/files/zip/july-2020-asp-pricing-file-updated-06012020.zip</t>
  </si>
  <si>
    <t xml:space="preserve">2020-Q4</t>
  </si>
  <si>
    <t xml:space="preserve">2Q20</t>
  </si>
  <si>
    <t xml:space="preserve">https://www.cms.gov/files/zip/october-2020-asp-pricing-file.zip</t>
  </si>
  <si>
    <t xml:space="preserve">2021-Q1</t>
  </si>
  <si>
    <t xml:space="preserve">2021</t>
  </si>
  <si>
    <t xml:space="preserve">3Q20</t>
  </si>
  <si>
    <t xml:space="preserve">https://www.cms.gov/files/zip/january-2021-asp-pricing-file.zip</t>
  </si>
  <si>
    <t xml:space="preserve">2021-Q2</t>
  </si>
  <si>
    <t xml:space="preserve">4Q20</t>
  </si>
  <si>
    <t xml:space="preserve">https://www.cms.gov/files/zip/april-2021-asp-pricing-file.zip</t>
  </si>
  <si>
    <t xml:space="preserve">2021-Q3</t>
  </si>
  <si>
    <t xml:space="preserve">1Q21</t>
  </si>
  <si>
    <t xml:space="preserve">https://www.cms.gov/files/zip/july-2021-asp-pricing-file.zip</t>
  </si>
  <si>
    <t xml:space="preserve">2021-Q4</t>
  </si>
  <si>
    <t xml:space="preserve">2Q21</t>
  </si>
  <si>
    <t xml:space="preserve">https://www.cms.gov/files/zip/october-2021-asp-pricing-file.zip</t>
  </si>
  <si>
    <t xml:space="preserve">2022-Q1</t>
  </si>
  <si>
    <t xml:space="preserve">2022</t>
  </si>
  <si>
    <t xml:space="preserve">3Q21</t>
  </si>
  <si>
    <t xml:space="preserve">https://www.cms.gov/files/zip/january-2022-asp-pricing-file.zip</t>
  </si>
  <si>
    <t xml:space="preserve">2022-Q2</t>
  </si>
  <si>
    <t xml:space="preserve">4Q21</t>
  </si>
  <si>
    <t xml:space="preserve">https://www.cms.gov/files/zip/april-2022-asp-pricing-file.zip</t>
  </si>
  <si>
    <t xml:space="preserve">2022-Q3</t>
  </si>
  <si>
    <t xml:space="preserve">1Q22</t>
  </si>
  <si>
    <t xml:space="preserve">https://www.cms.gov/files/zip/july-2022-asp-pricing-file.zip</t>
  </si>
  <si>
    <t xml:space="preserve">2022-Q4</t>
  </si>
  <si>
    <t xml:space="preserve">2Q22</t>
  </si>
  <si>
    <t xml:space="preserve">https://www.cms.gov/files/zip/october-2022-asp-pricing-file.zip</t>
  </si>
  <si>
    <t xml:space="preserve">2023-Q1</t>
  </si>
  <si>
    <t xml:space="preserve">2023</t>
  </si>
  <si>
    <t xml:space="preserve">3Q22</t>
  </si>
  <si>
    <t xml:space="preserve">https://www.cms.gov/files/zip/january-2023-asp-pricing-file.zip</t>
  </si>
  <si>
    <t xml:space="preserve">2023-Q2</t>
  </si>
  <si>
    <t xml:space="preserve">4Q22</t>
  </si>
  <si>
    <t xml:space="preserve">https://www.cms.gov/files/zip/april-2023-asp-pricing-file.zip</t>
  </si>
  <si>
    <t xml:space="preserve">2023-Q3</t>
  </si>
  <si>
    <t xml:space="preserve">1Q23</t>
  </si>
  <si>
    <t xml:space="preserve">https://www.cms.gov/files/zip/july-2023-asp-pricing-file.zip</t>
  </si>
  <si>
    <t xml:space="preserve">2023-Q4</t>
  </si>
  <si>
    <t xml:space="preserve">2Q23</t>
  </si>
  <si>
    <t xml:space="preserve">https://www.cms.gov/files/zip/october-2023-asp-pricing-file.zip</t>
  </si>
  <si>
    <t xml:space="preserve">2024-Q1</t>
  </si>
  <si>
    <t xml:space="preserve">2024</t>
  </si>
  <si>
    <t xml:space="preserve">3Q23</t>
  </si>
  <si>
    <t xml:space="preserve">https://www.cms.gov/files/zip/january-2024-asp-pricing-file.zip</t>
  </si>
  <si>
    <t xml:space="preserve">2024-Q2</t>
  </si>
  <si>
    <t xml:space="preserve">4Q23</t>
  </si>
  <si>
    <t xml:space="preserve">https://www.cms.gov/files/zip/april-2024-asp-pricing-file.zip</t>
  </si>
  <si>
    <t xml:space="preserve">2024-Q3</t>
  </si>
  <si>
    <t xml:space="preserve">1Q24</t>
  </si>
  <si>
    <t xml:space="preserve">https://www.cms.gov/files/zip/july-2024-asp-pricing-file.zip</t>
  </si>
  <si>
    <t xml:space="preserve">2024-Q4</t>
  </si>
  <si>
    <t xml:space="preserve">2Q24</t>
  </si>
  <si>
    <t xml:space="preserve">https://www.cms.gov/files/zip/october-2024-asp-pricing-file.zip</t>
  </si>
  <si>
    <t xml:space="preserve">2025-Q1</t>
  </si>
  <si>
    <t xml:space="preserve">2025</t>
  </si>
  <si>
    <t xml:space="preserve">3Q24</t>
  </si>
  <si>
    <t xml:space="preserve">https://www.cms.gov/files/zip/january-2025-asp-pricing-file-03/11/25-final-file.zip</t>
  </si>
  <si>
    <t xml:space="preserve">2025-Q2</t>
  </si>
  <si>
    <t xml:space="preserve">4Q24</t>
  </si>
  <si>
    <t xml:space="preserve">https://www.cms.gov/files/zip/april-2025-asp-pricing-file.zip</t>
  </si>
  <si>
    <t xml:space="preserve">2025-Q3</t>
  </si>
  <si>
    <t xml:space="preserve">1Q25</t>
  </si>
  <si>
    <t xml:space="preserve">https://www.cms.gov/files/zip/july-2025-asp-pricing-file.zip</t>
  </si>
  <si>
    <t xml:space="preserve">2025-Q4</t>
  </si>
  <si>
    <t xml:space="preserve">2Q25</t>
  </si>
  <si>
    <t xml:space="preserve">https://www.cms.gov/files/zip/october-2025-asp-pricing-final-file.zip</t>
  </si>
  <si>
    <t xml:space="preserve">2026-Q1</t>
  </si>
  <si>
    <t xml:space="preserve">2026</t>
  </si>
  <si>
    <t xml:space="preserve">3Q25</t>
  </si>
  <si>
    <t xml:space="preserve">https://www.cms.gov/files/zip/january-2026-medicare-part-b-payment-limit-files.zip</t>
  </si>
  <si>
    <t xml:space="preserve">2026-Q2</t>
  </si>
  <si>
    <t xml:space="preserve">4Q25</t>
  </si>
  <si>
    <t xml:space="preserve">https://www.cms.gov/files/zip/april-2026-medicare-part-b-payment-limit-files-final-file.zip</t>
  </si>
  <si>
    <t xml:space="preserve">2026-Q3</t>
  </si>
  <si>
    <t xml:space="preserve">1Q26</t>
  </si>
  <si>
    <t xml:space="preserve">https://www.cms.gov/files/zip/july-2026-medicare-part-b-payment-limit-files.zip</t>
  </si>
  <si>
    <t xml:space="preserve">2026-Q4</t>
  </si>
  <si>
    <t xml:space="preserve">2Q26</t>
  </si>
  <si>
    <t xml:space="preserve">https://www.cms.gov/files/zip/october-2026-medicare-part-b-payment-limit-files-final.zip</t>
  </si>
  <si>
    <t xml:space="preserve">Implied ASP per vial (US$) = payment limit x billing units per vial / 1.06</t>
  </si>
  <si>
    <t xml:space="preserve">MPSS and MPA switch from the old to the new HCPCS code at the cutover quarter in Assumptions. Inputs: CMS_PL, Assumptions.</t>
  </si>
  <si>
    <t xml:space="preserve">Code regime</t>
  </si>
  <si>
    <t xml:space="preserve">Annual average implied ASP per vial (mean of the quarterly files effective in each year). 2024 blends Q1 old code with Q2-Q4 new code.</t>
  </si>
  <si>
    <t xml:space="preserve">ASP growth: peaks, changes and CAGRs per vial</t>
  </si>
  <si>
    <t xml:space="preserve">All values look up ASP_per_vial. Row 4 holds the quarter looked up in each column; row 3 its quarter index.</t>
  </si>
  <si>
    <t xml:space="preserve">Quarter looked up</t>
  </si>
  <si>
    <t xml:space="preserve">ASP 2016-Q1</t>
  </si>
  <si>
    <t xml:space="preserve">ASP 2018-Q3</t>
  </si>
  <si>
    <t xml:space="preserve">ASP 2021-Q4</t>
  </si>
  <si>
    <t xml:space="preserve">ASP 2023-Q4</t>
  </si>
  <si>
    <t xml:space="preserve">ASP 2024-Q1</t>
  </si>
  <si>
    <t xml:space="preserve">ASP 2024-Q2</t>
  </si>
  <si>
    <t xml:space="preserve">ASP 2025-Q4</t>
  </si>
  <si>
    <t xml:space="preserve">ASP 2026-Q4</t>
  </si>
  <si>
    <t xml:space="preserve">Peak ASP</t>
  </si>
  <si>
    <t xml:space="preserve">Peak quarter</t>
  </si>
  <si>
    <t xml:space="preserve">1y change (Q4'25 to Q4'26)</t>
  </si>
  <si>
    <t xml:space="preserve">3y CAGR (Q4'23 to Q4'26)</t>
  </si>
  <si>
    <t xml:space="preserve">5y CAGR (Q4'21 to Q4'26)</t>
  </si>
  <si>
    <t xml:space="preserve">CAGR Q1'16 to Q4'26</t>
  </si>
  <si>
    <t xml:space="preserve">Change Q1'16 to Q3'18</t>
  </si>
  <si>
    <t xml:space="preserve">Change Q2'24 to Q4'26 (new code)</t>
  </si>
  <si>
    <t xml:space="preserve">Note</t>
  </si>
  <si>
    <t xml:space="preserve">Peak, old code (to Q1 2024)</t>
  </si>
  <si>
    <t xml:space="preserve">Quarter of old-code peak</t>
  </si>
  <si>
    <t xml:space="preserve">Peak, new code (from Q2 2024)</t>
  </si>
  <si>
    <t xml:space="preserve">Quarter of new-code peak</t>
  </si>
  <si>
    <t xml:space="preserve">Windows before Q2 2024 cross the code change</t>
  </si>
  <si>
    <t xml:space="preserve">Quarter-on-quarter change in payment limit per billing unit (links to CMS_PL)</t>
  </si>
  <si>
    <t xml:space="preserve">J1720 PL</t>
  </si>
  <si>
    <t xml:space="preserve">J1720 QoQ</t>
  </si>
  <si>
    <t xml:space="preserve">J2930 PL</t>
  </si>
  <si>
    <t xml:space="preserve">J2930 QoQ</t>
  </si>
  <si>
    <t xml:space="preserve">J2919 PL</t>
  </si>
  <si>
    <t xml:space="preserve">J2919 QoQ</t>
  </si>
  <si>
    <t xml:space="preserve">J1010 PL</t>
  </si>
  <si>
    <t xml:space="preserve">J1010 QoQ</t>
  </si>
  <si>
    <t xml:space="preserve">Summary of quarterly moves</t>
  </si>
  <si>
    <t xml:space="preserve">Measure</t>
  </si>
  <si>
    <t xml:space="preserve">J1720 largest quarterly fall</t>
  </si>
  <si>
    <t xml:space="preserve">J1720 largest quarterly rise</t>
  </si>
  <si>
    <t xml:space="preserve">J1720 change in 2017-Q3</t>
  </si>
  <si>
    <t xml:space="preserve">J1720 change in 2022-Q3</t>
  </si>
  <si>
    <t xml:space="preserve">J2919 change in 2025-Q4</t>
  </si>
  <si>
    <t xml:space="preserve">J2919 change in 2026-Q1</t>
  </si>
  <si>
    <t xml:space="preserve">J1720 payment-limit CAGR Q1'16 to Q4'26</t>
  </si>
  <si>
    <t xml:space="preserve">2016-Q1 to 2026-Q4</t>
  </si>
  <si>
    <t xml:space="preserve">Pfizer list price (WAC) per vial, Connecticut price disclosures</t>
  </si>
  <si>
    <t xml:space="preserve">Line keys follow the order of presentations in each disclosure (the PDFs give no NDCs). WAC per vial = pack WAC / pack size.</t>
  </si>
  <si>
    <t xml:space="preserve">WAC per vial by line and date (AVERAGEIFS on the table at left)</t>
  </si>
  <si>
    <t xml:space="preserve">Brand</t>
  </si>
  <si>
    <t xml:space="preserve">Disclosure date</t>
  </si>
  <si>
    <t xml:space="preserve">Presentation as listed</t>
  </si>
  <si>
    <t xml:space="preserve">Line key</t>
  </si>
  <si>
    <t xml:space="preserve">Pack WAC (US$)</t>
  </si>
  <si>
    <t xml:space="preserve">Pack size</t>
  </si>
  <si>
    <t xml:space="preserve">WAC per vial (US$)</t>
  </si>
  <si>
    <t xml:space="preserve">Source</t>
  </si>
  <si>
    <t xml:space="preserve">09-Jul-2024</t>
  </si>
  <si>
    <t xml:space="preserve">28-Mar-2025</t>
  </si>
  <si>
    <t xml:space="preserve">28-Jul-2025</t>
  </si>
  <si>
    <t xml:space="preserve">03-Oct-2025</t>
  </si>
  <si>
    <t xml:space="preserve">09-Jan-2026</t>
  </si>
  <si>
    <t xml:space="preserve">06-Jul-2026</t>
  </si>
  <si>
    <t xml:space="preserve">Change Jul-24 to Jul-26</t>
  </si>
  <si>
    <t xml:space="preserve">Change Mar-25 to Jul-25</t>
  </si>
  <si>
    <t xml:space="preserve">SOLU-CORTEF</t>
  </si>
  <si>
    <t xml:space="preserve">SOLU-CORTEF 1000 MG ACT-O-VL</t>
  </si>
  <si>
    <t xml:space="preserve">HSS 1 g Act-O-Vial</t>
  </si>
  <si>
    <t xml:space="preserve">PDF</t>
  </si>
  <si>
    <t xml:space="preserve">SOLU-CORTEF 1 gm/8 mL ACT-O-VIAL®</t>
  </si>
  <si>
    <t xml:space="preserve">HSS 100 mg Act-O-Vial (25-pack)</t>
  </si>
  <si>
    <t xml:space="preserve">HSS 100 mg Act-O-Vial (single)</t>
  </si>
  <si>
    <t xml:space="preserve">HSS 100 mg plain vial</t>
  </si>
  <si>
    <t xml:space="preserve">HSS 250 mg Act-O-Vial (25-pack)</t>
  </si>
  <si>
    <t xml:space="preserve">HSS 250 mg Act-O-Vial (single)</t>
  </si>
  <si>
    <t xml:space="preserve">SOLU-CORTEF 100 MG ACT-O-VIAL</t>
  </si>
  <si>
    <t xml:space="preserve">HSS 500 mg Act-O-Vial</t>
  </si>
  <si>
    <t xml:space="preserve">SOLU-CORTEF 100 mg/2 mL ACT-O-VIAL®</t>
  </si>
  <si>
    <t xml:space="preserve">MPSS 1 g Act-O-Vial</t>
  </si>
  <si>
    <t xml:space="preserve">MPSS 1 g multi-dose vial</t>
  </si>
  <si>
    <t xml:space="preserve">MPSS 1 g vial</t>
  </si>
  <si>
    <t xml:space="preserve">MPSS 125 mg Act-O-Vial line A</t>
  </si>
  <si>
    <t xml:space="preserve">MPSS 125 mg Act-O-Vial line B</t>
  </si>
  <si>
    <t xml:space="preserve">MPSS 125 mg Act-O-Vial line C</t>
  </si>
  <si>
    <t xml:space="preserve">MPSS 2 g vial</t>
  </si>
  <si>
    <t xml:space="preserve">MPSS 40 mg Act-O-Vial line A</t>
  </si>
  <si>
    <t xml:space="preserve">MPSS 40 mg Act-O-Vial line B</t>
  </si>
  <si>
    <t xml:space="preserve">MPSS 40 mg Act-O-Vial line C</t>
  </si>
  <si>
    <t xml:space="preserve">MPSS 500 mg Act-O-Vial</t>
  </si>
  <si>
    <t xml:space="preserve">SOLU-CORTEF 100 MG VIAL</t>
  </si>
  <si>
    <t xml:space="preserve">MPSS 500 mg vial</t>
  </si>
  <si>
    <t xml:space="preserve">SOLU-CORTEF 100 mg Vial</t>
  </si>
  <si>
    <t xml:space="preserve">Ratios used in the report</t>
  </si>
  <si>
    <t xml:space="preserve">Formula basis</t>
  </si>
  <si>
    <t xml:space="preserve">Solu-Cortef: smallest Jul-24 to Jul-26 WAC change (single vials)</t>
  </si>
  <si>
    <t xml:space="preserve">Min of the five single-vial lines</t>
  </si>
  <si>
    <t xml:space="preserve">SOLU-CORTEF 250 MG ACT-O-VIAL</t>
  </si>
  <si>
    <t xml:space="preserve">Solu-Cortef: largest Jul-24 to Jul-26 WAC change (single vials)</t>
  </si>
  <si>
    <t xml:space="preserve">Max of the five single-vial lines</t>
  </si>
  <si>
    <t xml:space="preserve">SOLU-CORTEF 250 mg/2 mL ACT-O-VIAL®</t>
  </si>
  <si>
    <t xml:space="preserve">Solu-Cortef: smallest Jul-24 to Jul-26 change (25-pack lines)</t>
  </si>
  <si>
    <t xml:space="preserve">2024 lists two NDCs per strength at per-vial prices; mapping to 25-pack lines assumed</t>
  </si>
  <si>
    <t xml:space="preserve">Solu-Medrol: largest Mar-25 to Jul-25 cut</t>
  </si>
  <si>
    <t xml:space="preserve">Min of MPSS lines</t>
  </si>
  <si>
    <t xml:space="preserve">Solu-Medrol: smallest Mar-25 to Jul-25 cut (lines that changed)</t>
  </si>
  <si>
    <t xml:space="preserve">Largest negative change (MAXIFS)</t>
  </si>
  <si>
    <t xml:space="preserve">Solu-Medrol: number of lines cut Mar-25 to Jul-25</t>
  </si>
  <si>
    <t xml:space="preserve">Count of negative changes</t>
  </si>
  <si>
    <t xml:space="preserve">Solu-Medrol: 40 mg Act-O-Vial line A cut</t>
  </si>
  <si>
    <t xml:space="preserve">Mar-25 to Jul-25</t>
  </si>
  <si>
    <t xml:space="preserve">Solu-Medrol: 40 mg Act-O-Vial line C cut</t>
  </si>
  <si>
    <t xml:space="preserve">Solu-Medrol: 125 mg Act-O-Vial line A cut</t>
  </si>
  <si>
    <t xml:space="preserve">Solu-Medrol: 125 mg Act-O-Vial line C cut</t>
  </si>
  <si>
    <t xml:space="preserve">Solu-Medrol: 1 g multi-dose vial cut</t>
  </si>
  <si>
    <t xml:space="preserve">J1720 Q4'26 ASP / 100 mg Act-O-Vial WAC</t>
  </si>
  <si>
    <t xml:space="preserve">ASP_growth / WAC Jul-26</t>
  </si>
  <si>
    <t xml:space="preserve">J1720 Q4'26 ASP / 100 mg plain vial WAC</t>
  </si>
  <si>
    <t xml:space="preserve">SOLU-CORTEF 500 MG ACT-O-VIAL</t>
  </si>
  <si>
    <t xml:space="preserve">Implied ASP / WAC, HSS 250 mg (2.5 units)</t>
  </si>
  <si>
    <t xml:space="preserve">Shows blended-ASP artefact</t>
  </si>
  <si>
    <t xml:space="preserve">SOLU-CORTEF 500 mg/4 mL ACT-O-VIAL®</t>
  </si>
  <si>
    <t xml:space="preserve">Implied ASP / WAC, HSS 500 mg</t>
  </si>
  <si>
    <t xml:space="preserve">HSS 250 mg WAC / 100 mg plain vial WAC</t>
  </si>
  <si>
    <t xml:space="preserve">Jul-26</t>
  </si>
  <si>
    <t xml:space="preserve">HSS 1 g WAC / 100 mg plain vial WAC</t>
  </si>
  <si>
    <t xml:space="preserve">SOLU-MEDROL</t>
  </si>
  <si>
    <t xml:space="preserve">SOLU-MEDROL 1000 MG VIAL</t>
  </si>
  <si>
    <t xml:space="preserve">SOLU-MEDROL 1 gm/8 mL ACT-O-VIAL®</t>
  </si>
  <si>
    <t xml:space="preserve">SOLU-MEDROL 1 GRAM VIAL</t>
  </si>
  <si>
    <t xml:space="preserve">SOLU-MEDROL 1 gm/16 mL Multi-dose Vial</t>
  </si>
  <si>
    <t xml:space="preserve">SOLU-MEDROL 1 gm/16 mL Vial</t>
  </si>
  <si>
    <t xml:space="preserve">SOLU-MEDROL 125 MG VIAL</t>
  </si>
  <si>
    <t xml:space="preserve">SOLU-MEDROL 125 mg/2 mL Act-O-Vial®</t>
  </si>
  <si>
    <t xml:space="preserve">SOLU-MEDROL 125 mg/2 mL ACT-O-VIAL®</t>
  </si>
  <si>
    <t xml:space="preserve">SOLU-MEDROL 2000 MG VIAL</t>
  </si>
  <si>
    <t xml:space="preserve">SOLU-MEDROL 2 g Sterile Powder</t>
  </si>
  <si>
    <t xml:space="preserve">SOLU-MEDROL 40 MG VIAL</t>
  </si>
  <si>
    <t xml:space="preserve">SOLU-MEDROL 40 mg/1 mL Act-O-Vial®</t>
  </si>
  <si>
    <t xml:space="preserve">SOLU-MEDROL 40 mg/1 mL ACT-O-VIAL®</t>
  </si>
  <si>
    <t xml:space="preserve">SOLU-MEDROL 500 MG VIAL</t>
  </si>
  <si>
    <t xml:space="preserve">SOLU-MEDROL 500 mg/4 mL ACT-O-VIAL®</t>
  </si>
  <si>
    <t xml:space="preserve">SOLU-MEDROL 500 mg/8 mL Vial</t>
  </si>
  <si>
    <t xml:space="preserve">NADAC per unit, latest effective rates at 21 Oct 2026</t>
  </si>
  <si>
    <t xml:space="preserve">Source S19. B = brand, G = generic. HSS and MPSS priced per vial (EA); MPA per mL.</t>
  </si>
  <si>
    <t xml:space="preserve">NDC description</t>
  </si>
  <si>
    <t xml:space="preserve">NDC</t>
  </si>
  <si>
    <t xml:space="preserve">Pricing unit</t>
  </si>
  <si>
    <t xml:space="preserve">Brand / generic</t>
  </si>
  <si>
    <t xml:space="preserve">NADAC per unit (US$)</t>
  </si>
  <si>
    <t xml:space="preserve">Effective date</t>
  </si>
  <si>
    <t xml:space="preserve">DEPO-MEDROL 40 MG/ML VIAL</t>
  </si>
  <si>
    <t xml:space="preserve">00009307322</t>
  </si>
  <si>
    <t xml:space="preserve">ML</t>
  </si>
  <si>
    <t xml:space="preserve">B</t>
  </si>
  <si>
    <t xml:space="preserve">S19</t>
  </si>
  <si>
    <t xml:space="preserve">00009307301</t>
  </si>
  <si>
    <t xml:space="preserve">DEPO-MEDROL 80 MG/ML VIAL</t>
  </si>
  <si>
    <t xml:space="preserve">00009347501</t>
  </si>
  <si>
    <t xml:space="preserve">HYDROCORTISONE SS 100 MG VIAL</t>
  </si>
  <si>
    <t xml:space="preserve">70710190701</t>
  </si>
  <si>
    <t xml:space="preserve">EA</t>
  </si>
  <si>
    <t xml:space="preserve">G</t>
  </si>
  <si>
    <t xml:space="preserve">69097000467</t>
  </si>
  <si>
    <t xml:space="preserve">60505641100</t>
  </si>
  <si>
    <t xml:space="preserve">METHYLPREDNISOLONE 40 MG/ML VL</t>
  </si>
  <si>
    <t xml:space="preserve">60219157301</t>
  </si>
  <si>
    <t xml:space="preserve">70121157301</t>
  </si>
  <si>
    <t xml:space="preserve">METHYLPREDNISOLONE 400 MG/10 ML</t>
  </si>
  <si>
    <t xml:space="preserve">00781352270</t>
  </si>
  <si>
    <t xml:space="preserve">55150031301</t>
  </si>
  <si>
    <t xml:space="preserve">25021082010</t>
  </si>
  <si>
    <t xml:space="preserve">70121160901</t>
  </si>
  <si>
    <t xml:space="preserve">42023023901</t>
  </si>
  <si>
    <t xml:space="preserve">METHYLPREDNISOLONE 80 MG/ML VL</t>
  </si>
  <si>
    <t xml:space="preserve">70121157401</t>
  </si>
  <si>
    <t xml:space="preserve">70121155201</t>
  </si>
  <si>
    <t xml:space="preserve">60219157401</t>
  </si>
  <si>
    <t xml:space="preserve">METHYLPREDNISOLONE SS 125 MG</t>
  </si>
  <si>
    <t xml:space="preserve">43598012925</t>
  </si>
  <si>
    <t xml:space="preserve">63323025803</t>
  </si>
  <si>
    <t xml:space="preserve">00143975425</t>
  </si>
  <si>
    <t xml:space="preserve">00009001103</t>
  </si>
  <si>
    <t xml:space="preserve">00009001104</t>
  </si>
  <si>
    <t xml:space="preserve">00009082501</t>
  </si>
  <si>
    <t xml:space="preserve">00009001305</t>
  </si>
  <si>
    <t xml:space="preserve">00009004722</t>
  </si>
  <si>
    <t xml:space="preserve">00009003928</t>
  </si>
  <si>
    <t xml:space="preserve">00009003906</t>
  </si>
  <si>
    <t xml:space="preserve">00009003932</t>
  </si>
  <si>
    <t xml:space="preserve">Generic vs brand</t>
  </si>
  <si>
    <t xml:space="preserve">Generic MPSS 125 mg / Solu-Medrol 125 mg</t>
  </si>
  <si>
    <t xml:space="preserve">Generic HSS 100 mg / Solu-Cortef 100 mg Act-O-Vial (00009001103)</t>
  </si>
  <si>
    <t xml:space="preserve">Generic HSS 100 mg / Solu-Cortef 100 mg plain vial</t>
  </si>
  <si>
    <t xml:space="preserve">Generic MPA 40 mg/mL / Depo-Medrol 40 mg/mL (per mL)</t>
  </si>
  <si>
    <t xml:space="preserve">Input: Medicaid SDUD national totals by NDC and year</t>
  </si>
  <si>
    <t xml:space="preserve">Sources S10-S18. Aggregated in Python from the national ('XX') rows for every NDC RxNorm links to these molecules. 2026 = Q1 only. Dollars are pre-rebate.</t>
  </si>
  <si>
    <t xml:space="preserve">Company</t>
  </si>
  <si>
    <t xml:space="preserve">Molecule</t>
  </si>
  <si>
    <t xml:space="preserve">Strength</t>
  </si>
  <si>
    <t xml:space="preserve">Units reimbursed</t>
  </si>
  <si>
    <t xml:space="preserve">Prescriptions</t>
  </si>
  <si>
    <t xml:space="preserve">Amount reimbursed (US$)</t>
  </si>
  <si>
    <t xml:space="preserve">00009000302</t>
  </si>
  <si>
    <t xml:space="preserve">Pfizer (Pharmacia &amp; Upjohn) - brand</t>
  </si>
  <si>
    <t xml:space="preserve">MPSS</t>
  </si>
  <si>
    <t xml:space="preserve">500 mg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</si>
  <si>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</si>
  <si>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</si>
  <si>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</si>
  <si>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</si>
  <si>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</si>
  <si>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</si>
  <si>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</si>
  <si>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</si>
  <si>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</si>
  <si>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00009000501</t>
  </si>
  <si>
    <t xml:space="preserve">HSS</t>
  </si>
  <si>
    <t xml:space="preserve">1000 mg</t>
  </si>
  <si>
    <t xml:space="preserve">100 mg</t>
  </si>
  <si>
    <t xml:space="preserve">250 mg</t>
  </si>
  <si>
    <t xml:space="preserve">00009001306</t>
  </si>
  <si>
    <t xml:space="preserve">00009001612</t>
  </si>
  <si>
    <t xml:space="preserve">00009001820</t>
  </si>
  <si>
    <t xml:space="preserve">00009003905</t>
  </si>
  <si>
    <t xml:space="preserve">40 mg</t>
  </si>
  <si>
    <t xml:space="preserve">00009003930</t>
  </si>
  <si>
    <t xml:space="preserve">00009003933</t>
  </si>
  <si>
    <t xml:space="preserve">00009004703</t>
  </si>
  <si>
    <t xml:space="preserve">125 mg</t>
  </si>
  <si>
    <t xml:space="preserve">00009004704</t>
  </si>
  <si>
    <t xml:space="preserve">00009004725</t>
  </si>
  <si>
    <t xml:space="preserve">00009004726</t>
  </si>
  <si>
    <t xml:space="preserve">00009004727</t>
  </si>
  <si>
    <t xml:space="preserve">00009011319</t>
  </si>
  <si>
    <t xml:space="preserve">00009019009</t>
  </si>
  <si>
    <t xml:space="preserve">00009019016</t>
  </si>
  <si>
    <t xml:space="preserve">00009027401</t>
  </si>
  <si>
    <t xml:space="preserve">MPA</t>
  </si>
  <si>
    <t xml:space="preserve">20 mg/mL x 5 mL</t>
  </si>
  <si>
    <t xml:space="preserve">00009028002</t>
  </si>
  <si>
    <t xml:space="preserve">40 mg/mL x 5 mL</t>
  </si>
  <si>
    <t xml:space="preserve">00009028003</t>
  </si>
  <si>
    <t xml:space="preserve">40 mg/mL x 10 mL</t>
  </si>
  <si>
    <t xml:space="preserve">00009028032</t>
  </si>
  <si>
    <t xml:space="preserve">40 mg/mL (vial n/a)</t>
  </si>
  <si>
    <t xml:space="preserve">00009028051</t>
  </si>
  <si>
    <t xml:space="preserve">00009028052</t>
  </si>
  <si>
    <t xml:space="preserve">00009030602</t>
  </si>
  <si>
    <t xml:space="preserve">80 mg/mL x 5 mL</t>
  </si>
  <si>
    <t xml:space="preserve">00009030612</t>
  </si>
  <si>
    <t xml:space="preserve">00009069801</t>
  </si>
  <si>
    <t xml:space="preserve">00009069802</t>
  </si>
  <si>
    <t xml:space="preserve">00009075801</t>
  </si>
  <si>
    <t xml:space="preserve">00009079601</t>
  </si>
  <si>
    <t xml:space="preserve">2000 mg</t>
  </si>
  <si>
    <t xml:space="preserve">00009085001</t>
  </si>
  <si>
    <t xml:space="preserve">00009090020</t>
  </si>
  <si>
    <t xml:space="preserve">40 mg/mL x 1 mL</t>
  </si>
  <si>
    <t xml:space="preserve">00009307303</t>
  </si>
  <si>
    <t xml:space="preserve">00009307323</t>
  </si>
  <si>
    <t xml:space="preserve">80 mg/mL x 1 mL</t>
  </si>
  <si>
    <t xml:space="preserve">00009347503</t>
  </si>
  <si>
    <t xml:space="preserve">00009347522</t>
  </si>
  <si>
    <t xml:space="preserve">00009347523</t>
  </si>
  <si>
    <t xml:space="preserve">00143975301</t>
  </si>
  <si>
    <t xml:space="preserve">Hikma (West-Ward)</t>
  </si>
  <si>
    <t xml:space="preserve">00143975325</t>
  </si>
  <si>
    <t xml:space="preserve">00143975401</t>
  </si>
  <si>
    <t xml:space="preserve">00143985001</t>
  </si>
  <si>
    <t xml:space="preserve">00143985101</t>
  </si>
  <si>
    <t xml:space="preserve">00409321705</t>
  </si>
  <si>
    <t xml:space="preserve">Pfizer/Hospira (A-Methapred/A-Hydrocort ANDA)</t>
  </si>
  <si>
    <t xml:space="preserve">00409321805</t>
  </si>
  <si>
    <t xml:space="preserve">00409485605</t>
  </si>
  <si>
    <t xml:space="preserve">00409568423</t>
  </si>
  <si>
    <t xml:space="preserve">00409568523</t>
  </si>
  <si>
    <t xml:space="preserve">00703003101</t>
  </si>
  <si>
    <t xml:space="preserve">Teva</t>
  </si>
  <si>
    <t xml:space="preserve">00703003104</t>
  </si>
  <si>
    <t xml:space="preserve">00703004301</t>
  </si>
  <si>
    <t xml:space="preserve">00703004501</t>
  </si>
  <si>
    <t xml:space="preserve">00703005101</t>
  </si>
  <si>
    <t xml:space="preserve">00703005104</t>
  </si>
  <si>
    <t xml:space="preserve">00703006301</t>
  </si>
  <si>
    <t xml:space="preserve">00781313171</t>
  </si>
  <si>
    <t xml:space="preserve">Sandoz</t>
  </si>
  <si>
    <t xml:space="preserve">00781313271</t>
  </si>
  <si>
    <t xml:space="preserve">00781313295</t>
  </si>
  <si>
    <t xml:space="preserve">00781313670</t>
  </si>
  <si>
    <t xml:space="preserve">00781313775</t>
  </si>
  <si>
    <t xml:space="preserve">00781351675</t>
  </si>
  <si>
    <t xml:space="preserve">00781352275</t>
  </si>
  <si>
    <t xml:space="preserve">16714008801</t>
  </si>
  <si>
    <t xml:space="preserve">Northstar Rx (Teva-made ANDAs)</t>
  </si>
  <si>
    <t xml:space="preserve">16714008825</t>
  </si>
  <si>
    <t xml:space="preserve">16714008901</t>
  </si>
  <si>
    <t xml:space="preserve">16714009001</t>
  </si>
  <si>
    <t xml:space="preserve">16714047201</t>
  </si>
  <si>
    <t xml:space="preserve">16714047225</t>
  </si>
  <si>
    <t xml:space="preserve">16714047301</t>
  </si>
  <si>
    <t xml:space="preserve">25021080705</t>
  </si>
  <si>
    <t xml:space="preserve">Sagent</t>
  </si>
  <si>
    <t xml:space="preserve">25021080810</t>
  </si>
  <si>
    <t xml:space="preserve">25021081030</t>
  </si>
  <si>
    <t xml:space="preserve">25021082005</t>
  </si>
  <si>
    <t xml:space="preserve">25021082105</t>
  </si>
  <si>
    <t xml:space="preserve">42023023801</t>
  </si>
  <si>
    <t xml:space="preserve">Endo/Par Sterile</t>
  </si>
  <si>
    <t xml:space="preserve">42023024001</t>
  </si>
  <si>
    <t xml:space="preserve">43598012725</t>
  </si>
  <si>
    <t xml:space="preserve">Dr. Reddy's</t>
  </si>
  <si>
    <t xml:space="preserve">43598012745</t>
  </si>
  <si>
    <t xml:space="preserve">43598012811</t>
  </si>
  <si>
    <t xml:space="preserve">43598012901</t>
  </si>
  <si>
    <t xml:space="preserve">43598013074</t>
  </si>
  <si>
    <t xml:space="preserve">Eugia (Aurobindo)</t>
  </si>
  <si>
    <t xml:space="preserve">55150031401</t>
  </si>
  <si>
    <t xml:space="preserve">Amneal</t>
  </si>
  <si>
    <t xml:space="preserve">60219157305</t>
  </si>
  <si>
    <t xml:space="preserve">60219157405</t>
  </si>
  <si>
    <t xml:space="preserve">63323025501</t>
  </si>
  <si>
    <t xml:space="preserve">Fresenius Kabi</t>
  </si>
  <si>
    <t xml:space="preserve">63323025503</t>
  </si>
  <si>
    <t xml:space="preserve">63323025801</t>
  </si>
  <si>
    <t xml:space="preserve">63323026530</t>
  </si>
  <si>
    <t xml:space="preserve">Cipla</t>
  </si>
  <si>
    <t xml:space="preserve">70121100001</t>
  </si>
  <si>
    <t xml:space="preserve">70121100005</t>
  </si>
  <si>
    <t xml:space="preserve">70121100101</t>
  </si>
  <si>
    <t xml:space="preserve">70121100105</t>
  </si>
  <si>
    <t xml:space="preserve">70121155205</t>
  </si>
  <si>
    <t xml:space="preserve">70121157305</t>
  </si>
  <si>
    <t xml:space="preserve">70121157405</t>
  </si>
  <si>
    <t xml:space="preserve">70121160905</t>
  </si>
  <si>
    <t xml:space="preserve">70121161001</t>
  </si>
  <si>
    <t xml:space="preserve">70121161005</t>
  </si>
  <si>
    <t xml:space="preserve">72572009801</t>
  </si>
  <si>
    <t xml:space="preserve">Civica (Hikma-made, ANDA203125)</t>
  </si>
  <si>
    <t xml:space="preserve">72572009825</t>
  </si>
  <si>
    <t xml:space="preserve">Medicaid prescription shares by labeler (SUMIFS on SDUD_NDC_data)</t>
  </si>
  <si>
    <t xml:space="preserve">2026 = Q1 only. Shares are of prescriptions (claims) unless stated.</t>
  </si>
  <si>
    <t xml:space="preserve">MPSS (Solu-Medrol and generics): prescriptions by labeler</t>
  </si>
  <si>
    <t xml:space="preserve">Labeler</t>
  </si>
  <si>
    <t xml:space="preserve">Total (all NDCs for molecule)</t>
  </si>
  <si>
    <t xml:space="preserve">Check: listed labelers minus total (should be 0)</t>
  </si>
  <si>
    <t xml:space="preserve">MPSS (Solu-Medrol and generics): share of prescriptions</t>
  </si>
  <si>
    <t xml:space="preserve">HSS (Solu-Cortef and generics): prescriptions by labeler</t>
  </si>
  <si>
    <t xml:space="preserve">HSS (Solu-Cortef and generics): share of prescriptions</t>
  </si>
  <si>
    <t xml:space="preserve">MPA (Depo-Medrol and generics): prescriptions by labeler</t>
  </si>
  <si>
    <t xml:space="preserve">MPA (Depo-Medrol and generics): share of prescriptions</t>
  </si>
  <si>
    <t xml:space="preserve">Brand share of Medicaid dollars (pre-rebate)</t>
  </si>
  <si>
    <t xml:space="preserve">MPSS by strength: share of prescriptions, 2025 and Q1 2026</t>
  </si>
  <si>
    <t xml:space="preserve">Strength share of 2025 MPSS Rx</t>
  </si>
  <si>
    <t xml:space="preserve">Pfizer 2025</t>
  </si>
  <si>
    <t xml:space="preserve">Pfizer Q1 2026</t>
  </si>
  <si>
    <t xml:space="preserve">Dr. Reddy's Q1 2026</t>
  </si>
  <si>
    <t xml:space="preserve">Fresenius Q1 2026</t>
  </si>
  <si>
    <t xml:space="preserve">Hikma Q1 2026</t>
  </si>
  <si>
    <t xml:space="preserve">HSS by strength, 2025: large-vial slice and effect of counting 250 mg as 3 billing units</t>
  </si>
  <si>
    <t xml:space="preserve">Rx 2025</t>
  </si>
  <si>
    <t xml:space="preserve">Amount 2025 (US$)</t>
  </si>
  <si>
    <t xml:space="preserve">Share of Rx</t>
  </si>
  <si>
    <t xml:space="preserve">Share of US$</t>
  </si>
  <si>
    <t xml:space="preserve">Units per vial (2.5 rule)</t>
  </si>
  <si>
    <t xml:space="preserve">Units per vial (3 rule)</t>
  </si>
  <si>
    <t xml:space="preserve">Billing units, 2.5 rule (Rx-weighted)</t>
  </si>
  <si>
    <t xml:space="preserve">Billing units, 3 rule (Rx-weighted)</t>
  </si>
  <si>
    <t xml:space="preserve">Total HSS 2025</t>
  </si>
  <si>
    <t xml:space="preserve">250 mg + 500 mg + 1 g prescriptions, 2025</t>
  </si>
  <si>
    <t xml:space="preserve">250 mg + 500 mg + 1 g share of HSS Rx, 2025</t>
  </si>
  <si>
    <t xml:space="preserve">250 mg + 500 mg + 1 g share of HSS Medicaid US$, 2025</t>
  </si>
  <si>
    <t xml:space="preserve">Mechanical J1720 ASP drag if 250 mg counts as 3 units (same dollars)</t>
  </si>
  <si>
    <t xml:space="preserve">Drag method: per-unit ASP = sales / billing units. Holding dollars fixed, moving 250 mg from 2.5 to 3 units scales ASP by (units at 2.5) / (units at 3). Rx used as the vial-mix proxy.</t>
  </si>
  <si>
    <t xml:space="preserve">CMS spending datasets: Part D 2024, Medicaid Spending by Drug 2024, Part B by HCPCS</t>
  </si>
  <si>
    <t xml:space="preserve">Inputs copied from S20, S21, S22/S23. Manufacturer rows only (dataset 'Overall' rows excluded to avoid double counting).</t>
  </si>
  <si>
    <t xml:space="preserve">Medicare Part D Spending by Drug (source S21), data year 2024</t>
  </si>
  <si>
    <t xml:space="preserve">Brand name</t>
  </si>
  <si>
    <t xml:space="preserve">Manufacturer</t>
  </si>
  <si>
    <t xml:space="preserve">Company group</t>
  </si>
  <si>
    <t xml:space="preserve">Total spending (US$)</t>
  </si>
  <si>
    <t xml:space="preserve">Dosage units</t>
  </si>
  <si>
    <t xml:space="preserve">Claims</t>
  </si>
  <si>
    <t xml:space="preserve">Hydrocortisone Sod Succinate</t>
  </si>
  <si>
    <t xml:space="preserve">Cipla USA, Inc.</t>
  </si>
  <si>
    <t xml:space="preserve">Generic</t>
  </si>
  <si>
    <t xml:space="preserve">Solu-Cortef</t>
  </si>
  <si>
    <t xml:space="preserve">Pfizer US Pharm</t>
  </si>
  <si>
    <t xml:space="preserve">Pfizer</t>
  </si>
  <si>
    <t xml:space="preserve">Pharmacia-Upjhn</t>
  </si>
  <si>
    <t xml:space="preserve">Depo-Medrol</t>
  </si>
  <si>
    <t xml:space="preserve">Methylprednisolone Acetate</t>
  </si>
  <si>
    <t xml:space="preserve">Amneal Bio-Nova</t>
  </si>
  <si>
    <t xml:space="preserve">Amneal Bioscien</t>
  </si>
  <si>
    <t xml:space="preserve">Amneal-Premier</t>
  </si>
  <si>
    <t xml:space="preserve">Eugia US LLC</t>
  </si>
  <si>
    <t xml:space="preserve">Eugia</t>
  </si>
  <si>
    <t xml:space="preserve">Sagent Pharmace</t>
  </si>
  <si>
    <t xml:space="preserve">Methylprednisolone Sodium Succ*</t>
  </si>
  <si>
    <t xml:space="preserve">App/Fresenius K</t>
  </si>
  <si>
    <t xml:space="preserve">Dr.Reddy'S Lab*</t>
  </si>
  <si>
    <t xml:space="preserve">Hikma Pharmaceu</t>
  </si>
  <si>
    <t xml:space="preserve">Hikma</t>
  </si>
  <si>
    <t xml:space="preserve">West-Ward/Hikma</t>
  </si>
  <si>
    <t xml:space="preserve">Solu-Medrol</t>
  </si>
  <si>
    <t xml:space="preserve">Phar-Prep/Pfize</t>
  </si>
  <si>
    <t xml:space="preserve">Solu-Medrol*</t>
  </si>
  <si>
    <t xml:space="preserve">Pfizer US Pharm*</t>
  </si>
  <si>
    <t xml:space="preserve">Pfizer-Novaplus</t>
  </si>
  <si>
    <t xml:space="preserve">Medicaid Spending by Drug (source S20), data year 2024</t>
  </si>
  <si>
    <t xml:space="preserve">Northstar Rx Ll</t>
  </si>
  <si>
    <t xml:space="preserve">Other</t>
  </si>
  <si>
    <t xml:space="preserve">Par Pharm.</t>
  </si>
  <si>
    <t xml:space="preserve">Endo/Par</t>
  </si>
  <si>
    <t xml:space="preserve">Teva Parenteral</t>
  </si>
  <si>
    <t xml:space="preserve">A-Methapred</t>
  </si>
  <si>
    <t xml:space="preserve">Hospira</t>
  </si>
  <si>
    <t xml:space="preserve">Sagent Pharmace*</t>
  </si>
  <si>
    <t xml:space="preserve">Pharmacia/Upjhn*</t>
  </si>
  <si>
    <t xml:space="preserve">Calculations (2024)</t>
  </si>
  <si>
    <t xml:space="preserve">Part D: brand share of claims</t>
  </si>
  <si>
    <t xml:space="preserve">Part D: Dr. Reddy's share of claims</t>
  </si>
  <si>
    <t xml:space="preserve">Part D: Fresenius Kabi share of claims</t>
  </si>
  <si>
    <t xml:space="preserve">Part D: Hikma share of claims</t>
  </si>
  <si>
    <t xml:space="preserve">Part D: Amneal share of claims</t>
  </si>
  <si>
    <t xml:space="preserve">Part D: brand claims</t>
  </si>
  <si>
    <t xml:space="preserve">Part D: total claims</t>
  </si>
  <si>
    <t xml:space="preserve">Part D: generic spend per dosage unit (US$)</t>
  </si>
  <si>
    <t xml:space="preserve">Part D: brand spend per dosage unit (US$)</t>
  </si>
  <si>
    <t xml:space="preserve">Part D: generic vs brand spend per unit</t>
  </si>
  <si>
    <t xml:space="preserve">Part D: total spending (US$)</t>
  </si>
  <si>
    <t xml:space="preserve">Medicaid Spending by Drug: brand US$</t>
  </si>
  <si>
    <t xml:space="preserve">Medicaid Spending by Drug: generic US$</t>
  </si>
  <si>
    <t xml:space="preserve">Medicaid Spending by Drug: brand share of US$</t>
  </si>
  <si>
    <t xml:space="preserve">Medicaid Spending by Drug: total US$</t>
  </si>
  <si>
    <t xml:space="preserve">Medicare Part B fee-for-service spending by HCPCS (sources S22 for DY2024 release, S23 for earlier releases)</t>
  </si>
  <si>
    <t xml:space="preserve">HCPCS</t>
  </si>
  <si>
    <t xml:space="preserve">Release (data year)</t>
  </si>
  <si>
    <t xml:space="preserve">Avg spend per unit (US$)</t>
  </si>
  <si>
    <t xml:space="preserve">J1020</t>
  </si>
  <si>
    <t xml:space="preserve">Part B calculations</t>
  </si>
  <si>
    <t xml:space="preserve">J1720 average spend per unit, 2016</t>
  </si>
  <si>
    <t xml:space="preserve">J1720 average spend per unit, 2024</t>
  </si>
  <si>
    <t xml:space="preserve">J1720 dosage units, 2016</t>
  </si>
  <si>
    <t xml:space="preserve">J1720 dosage units, 2018</t>
  </si>
  <si>
    <t xml:space="preserve">J1720 dosage units, 2024</t>
  </si>
  <si>
    <t xml:space="preserve">J1720 average spend per unit, 2018</t>
  </si>
  <si>
    <t xml:space="preserve">J2930 dosage units, 2023</t>
  </si>
  <si>
    <t xml:space="preserve">J2919 dosage units (5 mg), 2024 (Apr-Dec)</t>
  </si>
  <si>
    <t xml:space="preserve">J1010 dosage units (1 mg), 2024 (Apr-Dec)</t>
  </si>
  <si>
    <t xml:space="preserve">HSS spend 2023 (J1720)</t>
  </si>
  <si>
    <t xml:space="preserve">MPSS spend 2023 (J2920 + J2930)</t>
  </si>
  <si>
    <t xml:space="preserve">Part B FFS: HSS spend / MPSS spend, 2023</t>
  </si>
  <si>
    <t xml:space="preserve">Medicaid gross: HSS spend / MPSS spend, 2024</t>
  </si>
  <si>
    <t xml:space="preserve">Part D: HSS spend / MPSS spend, 2024</t>
  </si>
  <si>
    <t xml:space="preserve">Market-size figures, ICICI estimates and Pfizer Medrol revenue</t>
  </si>
  <si>
    <t xml:space="preserve">Item</t>
  </si>
  <si>
    <t xml:space="preserve">Combined US market, MPSS + HSS (Frost &amp; Sullivan via RHP)</t>
  </si>
  <si>
    <t xml:space="preserve">US$ mn</t>
  </si>
  <si>
    <t xml:space="preserve">S24 p.182; also S26</t>
  </si>
  <si>
    <t xml:space="preserve">ICICI: US market</t>
  </si>
  <si>
    <t xml:space="preserve">S27: '~US$300 million'</t>
  </si>
  <si>
    <t xml:space="preserve">ICICI: Pfizer share quoted</t>
  </si>
  <si>
    <t xml:space="preserve">%</t>
  </si>
  <si>
    <t xml:space="preserve">S27: '90% market share is currently with innovator Pfizer'</t>
  </si>
  <si>
    <t xml:space="preserve">IMS: MPSS US sales, 12m to Oct 2015 (Aurobindo strengths)</t>
  </si>
  <si>
    <t xml:space="preserve">S30</t>
  </si>
  <si>
    <t xml:space="preserve">IMS: MPSS US sales, 12m to Jan 2016</t>
  </si>
  <si>
    <t xml:space="preserve">S29</t>
  </si>
  <si>
    <t xml:space="preserve">IQVIA: Solu-Medrol brand + generic US sales, MAT Feb 2022</t>
  </si>
  <si>
    <t xml:space="preserve">S28</t>
  </si>
  <si>
    <t xml:space="preserve">IQVIA: MPA 40/80 mg/mL single-dose vials, 12m to Nov 2025</t>
  </si>
  <si>
    <t xml:space="preserve">S31</t>
  </si>
  <si>
    <t xml:space="preserve">Global DCV market 2025 (Frost &amp; Sullivan)</t>
  </si>
  <si>
    <t xml:space="preserve">S24 pp.180-182</t>
  </si>
  <si>
    <t xml:space="preserve">Global DCV market CAGR 2025-2030 (Frost &amp; Sullivan)</t>
  </si>
  <si>
    <t xml:space="preserve">S24</t>
  </si>
  <si>
    <t xml:space="preserve">Mhow DCV capacity</t>
  </si>
  <si>
    <t xml:space="preserve">mn vials / yr</t>
  </si>
  <si>
    <t xml:space="preserve">S24 (20 million vials per annum)</t>
  </si>
  <si>
    <t xml:space="preserve">ICICI complex-injectables revenue FY27E</t>
  </si>
  <si>
    <t xml:space="preserve">INR cr</t>
  </si>
  <si>
    <t xml:space="preserve">S27 (milestones)</t>
  </si>
  <si>
    <t xml:space="preserve">ICICI complex-injectables revenue FY28E</t>
  </si>
  <si>
    <t xml:space="preserve">S27</t>
  </si>
  <si>
    <t xml:space="preserve">ICICI complex-injectables revenue FY29E</t>
  </si>
  <si>
    <t xml:space="preserve">Calculations</t>
  </si>
  <si>
    <t xml:space="preserve">Implied HSS market by subtraction (288 - 144)</t>
  </si>
  <si>
    <t xml:space="preserve">Mixes 2022 IQVIA with a later F&amp;S figure; indicative only</t>
  </si>
  <si>
    <t xml:space="preserve">Global DCV market 2030 implied by F&amp;S CAGR</t>
  </si>
  <si>
    <t xml:space="preserve">2025 x (1 + CAGR)^5</t>
  </si>
  <si>
    <t xml:space="preserve">ICICI FY27E in US$</t>
  </si>
  <si>
    <t xml:space="preserve">INR cr x 10 / FX</t>
  </si>
  <si>
    <t xml:space="preserve">ICICI FY28E in US$</t>
  </si>
  <si>
    <t xml:space="preserve">ICICI FY29E in US$</t>
  </si>
  <si>
    <t xml:space="preserve">FY29E US$ / 288</t>
  </si>
  <si>
    <t xml:space="preserve">Link: CMS_Spending</t>
  </si>
  <si>
    <t xml:space="preserve">Pfizer MPSS share of Medicaid Rx, Q1 2026 (vs ICICI 90%)</t>
  </si>
  <si>
    <t xml:space="preserve">Link: Medicaid_SDUD</t>
  </si>
  <si>
    <t xml:space="preserve">Pfizer MPSS share of Part D claims, 2024 (vs ICICI 90%)</t>
  </si>
  <si>
    <t xml:space="preserve">US MPSS vial-equivalents at Q4'26 ASP per 125 mg vial (rough)</t>
  </si>
  <si>
    <t xml:space="preserve">mn vials</t>
  </si>
  <si>
    <t xml:space="preserve">US$144 mn / ASP per 125 mg vial; mixes 2022 sales with 2026 price</t>
  </si>
  <si>
    <t xml:space="preserve">Mhow capacity as % of those vial-equivalents (rough)</t>
  </si>
  <si>
    <t xml:space="preserve">20 mn / vial-equivalents</t>
  </si>
  <si>
    <t xml:space="preserve">Pfizer 'Medrol' revenue (scope not stated by Pfizer; likely oral + injectable methylprednisolone)</t>
  </si>
  <si>
    <t xml:space="preserve">Worldwide (US$ mn)</t>
  </si>
  <si>
    <t xml:space="preserve">US (US$ mn)</t>
  </si>
  <si>
    <t xml:space="preserve">US YoY</t>
  </si>
  <si>
    <t xml:space="preserve">S32: Pfizer FY2019 results release (Medrol 2019 and 2018), SEC exhibit 99</t>
  </si>
  <si>
    <t xml:space="preserve">S33: Pfizer FY2021 results release (Medrol 2021 and 2020), SEC exhibit 99</t>
  </si>
  <si>
    <t xml:space="preserve">S34: Pfizer FY2023 results release (Medrol 2023 and 2022), SEC exhibit 99</t>
  </si>
  <si>
    <t xml:space="preserve">US change 2018 to 2023</t>
  </si>
  <si>
    <t xml:space="preserve">Q4 2024 Medrol brand impairment (US$ mn)</t>
  </si>
  <si>
    <t xml:space="preserve">S35: Pfizer 2024 Form 10-K (US$475 mn Medrol impairment)</t>
  </si>
  <si>
    <t xml:space="preserve">Timing: review clock, exclusivity and elapsed time</t>
  </si>
  <si>
    <t xml:space="preserve">First DCV ANDA filing date (assumed 1st of month)</t>
  </si>
  <si>
    <t xml:space="preserve">Link: Assumptions</t>
  </si>
  <si>
    <t xml:space="preserve">Earliest FDA action on 10-month goal</t>
  </si>
  <si>
    <t xml:space="preserve">EDATE(filing, review months)</t>
  </si>
  <si>
    <t xml:space="preserve">Indian fiscal year of earliest action</t>
  </si>
  <si>
    <t xml:space="preserve">April-March fiscal year</t>
  </si>
  <si>
    <t xml:space="preserve">Second ANDA: earliest action if filed at window start</t>
  </si>
  <si>
    <t xml:space="preserve">EDATE(window start, review months)</t>
  </si>
  <si>
    <t xml:space="preserve">Second ANDA: earliest action if filed at window end</t>
  </si>
  <si>
    <t xml:space="preserve">EDATE(window end, review months)</t>
  </si>
  <si>
    <t xml:space="preserve">Cipla HSS CGT exclusivity end (first marketing + 180 days)</t>
  </si>
  <si>
    <t xml:space="preserve">First commercial marketing + 180 days</t>
  </si>
  <si>
    <t xml:space="preserve">Months from Cipla HSS approval to report date</t>
  </si>
  <si>
    <t xml:space="preserve">DATEDIF in whole months</t>
  </si>
  <si>
    <t xml:space="preserve">Sources used in this workbook</t>
  </si>
  <si>
    <t xml:space="preserve">All links opened and checked on 21 Oct 2026. SEC EDGAR links open in a browser (EDGAR blocks unidentified scripts).</t>
  </si>
  <si>
    <t xml:space="preserve">ID</t>
  </si>
  <si>
    <t xml:space="preserve">S01</t>
  </si>
  <si>
    <t xml:space="preserve">CMS Medicare Part B ASP pricing files (quarterly payment limits and NDC-HCPCS crosswalks, 2016-2026)</t>
  </si>
  <si>
    <t xml:space="preserve">https://www.cms.gov/medicare/payment/part-b-drugs/asp-pricing-files</t>
  </si>
  <si>
    <t xml:space="preserve">S02</t>
  </si>
  <si>
    <t xml:space="preserve">CMS October 2026 Part B payment limit file (2Q26 sales)</t>
  </si>
  <si>
    <t xml:space="preserve">CMS October 2026 NDC-HCPCS crosswalk (billing units per NDC)</t>
  </si>
  <si>
    <t xml:space="preserve">https://www.cms.gov/files/zip/october-2026-ndc-hcpcs-crosswalk-final.zip</t>
  </si>
  <si>
    <t xml:space="preserve">CMS April 2024 ASP file (first quarter of J2919 and J1010)</t>
  </si>
  <si>
    <t xml:space="preserve">S05</t>
  </si>
  <si>
    <t xml:space="preserve">FDA Orange Book data file (9 Oct 2026)</t>
  </si>
  <si>
    <t xml:space="preserve">https://www.fda.gov/media/76860/download</t>
  </si>
  <si>
    <t xml:space="preserve">S06</t>
  </si>
  <si>
    <t xml:space="preserve">openFDA NDC directory: methylprednisolone sodium succinate</t>
  </si>
  <si>
    <t xml:space="preserve">https://api.fda.gov/drug/ndc.json?search=active_ingredients.name:%22METHYLPREDNISOLONE+SODIUM+SUCCINATE%22&amp;limit=200</t>
  </si>
  <si>
    <t xml:space="preserve">S07</t>
  </si>
  <si>
    <t xml:space="preserve">openFDA NDC directory: hydrocortisone sodium succinate</t>
  </si>
  <si>
    <t xml:space="preserve">https://api.fda.gov/drug/ndc.json?search=active_ingredients.name:%22HYDROCORTISONE+SODIUM+SUCCINATE%22&amp;limit=100</t>
  </si>
  <si>
    <t xml:space="preserve">S08</t>
  </si>
  <si>
    <t xml:space="preserve">FDA Competitive Generic Therapy approvals list</t>
  </si>
  <si>
    <t xml:space="preserve">https://www.fda.gov/drugs/generic-drugs/competitive-generic-therapy-approvals</t>
  </si>
  <si>
    <t xml:space="preserve">S09</t>
  </si>
  <si>
    <t xml:space="preserve">FDA GDUFA III performance goals letter (10-month standard ANDA goal)</t>
  </si>
  <si>
    <t xml:space="preserve">https://www.fda.gov/media/153631/download</t>
  </si>
  <si>
    <t xml:space="preserve">Medicaid State Drug Utilization Data 2018</t>
  </si>
  <si>
    <t xml:space="preserve">https://data.medicaid.gov/dataset/a1f3598e-fc71-51aa-8560-78e7e1a61b09</t>
  </si>
  <si>
    <t xml:space="preserve">Medicaid State Drug Utilization Data 2019</t>
  </si>
  <si>
    <t xml:space="preserve">https://data.medicaid.gov/dataset/daba7980-e219-5996-9bec-90358fd156f1</t>
  </si>
  <si>
    <t xml:space="preserve">Medicaid State Drug Utilization Data 2020</t>
  </si>
  <si>
    <t xml:space="preserve">https://data.medicaid.gov/dataset/cc318bfb-a9b2-55f3-a924-d47376b32ea3</t>
  </si>
  <si>
    <t xml:space="preserve">Medicaid State Drug Utilization Data 2021</t>
  </si>
  <si>
    <t xml:space="preserve">https://data.medicaid.gov/dataset/eec7fbe6-c4c4-5915-b3d0-be5828ef4e9d</t>
  </si>
  <si>
    <t xml:space="preserve">Medicaid State Drug Utilization Data 2022</t>
  </si>
  <si>
    <t xml:space="preserve">https://data.medicaid.gov/dataset/200c2cba-e58d-4a95-aa60-14b99736808d</t>
  </si>
  <si>
    <t xml:space="preserve">Medicaid State Drug Utilization Data 2023</t>
  </si>
  <si>
    <t xml:space="preserve">https://data.medicaid.gov/dataset/d890d3a9-6b00-43fd-8b31-fcba4c8e2909</t>
  </si>
  <si>
    <t xml:space="preserve">Medicaid State Drug Utilization Data 2024</t>
  </si>
  <si>
    <t xml:space="preserve">https://data.medicaid.gov/dataset/61729e5a-7aa8-448c-8903-ba3e0cd0ea3c</t>
  </si>
  <si>
    <t xml:space="preserve">Medicaid State Drug Utilization Data 2025</t>
  </si>
  <si>
    <t xml:space="preserve">https://data.medicaid.gov/dataset/158a1baa-5506-400a-8ec3-97756f0b0536</t>
  </si>
  <si>
    <t xml:space="preserve">Medicaid State Drug Utilization Data 2026 (Q1 only at 21 Oct 2026)</t>
  </si>
  <si>
    <t xml:space="preserve">https://data.medicaid.gov/dataset/2957a7f9-9a15-453e-9afd-3bbdcbac8fd3</t>
  </si>
  <si>
    <t xml:space="preserve">NADAC 2026 (National Average Drug Acquisition Cost)</t>
  </si>
  <si>
    <t xml:space="preserve">https://data.medicaid.gov/dataset/fbb83258-11c7-47f5-8b18-5f8e79f7e704</t>
  </si>
  <si>
    <t xml:space="preserve">S20</t>
  </si>
  <si>
    <t xml:space="preserve">CMS Medicaid Spending by Drug, data year 2024</t>
  </si>
  <si>
    <t xml:space="preserve">https://data.cms.gov/sites/default/files/2026-06/ae1c5e06-957d-42dd-b783-e7fe598c01c9/DSD_MCD_RY26_P06_V20_D24_BGM.csv</t>
  </si>
  <si>
    <t xml:space="preserve">S21</t>
  </si>
  <si>
    <t xml:space="preserve">CMS Medicare Part D Spending by Drug, data year 2024</t>
  </si>
  <si>
    <t xml:space="preserve">https://data.cms.gov/sites/default/files/2026-06/98218f98-166c-4723-8438-c344a4ef96a6/DSD_PTD_RY26_P04_V10_DY24_BGM.csv</t>
  </si>
  <si>
    <t xml:space="preserve">S22</t>
  </si>
  <si>
    <t xml:space="preserve">CMS Medicare Part B Spending by Drug, data year 2024 (by HCPCS)</t>
  </si>
  <si>
    <t xml:space="preserve">https://data.cms.gov/sites/default/files/2026-06/6616fc91-eb70-404c-9f27-1448e47a3a73/DSD_PTB_RY26_P06_V10_DYT24_HCPCS-%20260602.csv</t>
  </si>
  <si>
    <t xml:space="preserve">S23</t>
  </si>
  <si>
    <t xml:space="preserve">CMS Medicare Part B Spending by Drug dashboard (earlier data years)</t>
  </si>
  <si>
    <t xml:space="preserve">https://data.cms.gov/summary-statistics-on-use-and-payments/medicare-medicaid-spending-by-drug/medicare-part-b-spending-by-drug</t>
  </si>
  <si>
    <t xml:space="preserve">Symbiotec Pharmalab RHP, 18 Aug 2026 (SEBI)</t>
  </si>
  <si>
    <t xml:space="preserve">https://www.sebi.gov.in/sebi_data/attachdocs/aug-2026/1787119258529.pdf</t>
  </si>
  <si>
    <t xml:space="preserve">S25</t>
  </si>
  <si>
    <t xml:space="preserve">Symbiotec Q1FY27 investor presentation (BSE)</t>
  </si>
  <si>
    <t xml:space="preserve">https://www.bseindia.com/xml-data/corpfiling/Attachhis/91eed093-577e-4264-babd-546a03192722.pdf</t>
  </si>
  <si>
    <t xml:space="preserve">S26</t>
  </si>
  <si>
    <t xml:space="preserve">Symbiotec BSE Reg. 30 filing on DCV licensing deal, 30 Sep 2026</t>
  </si>
  <si>
    <t xml:space="preserve">https://www.bseindia.com/xml-data/corpfiling/AttachLive/47a96a6d-0348-40db-a957-9ae203f20580.pdf</t>
  </si>
  <si>
    <t xml:space="preserve">ICICI Direct, Symbiotec conviction idea, 1 Oct 2026</t>
  </si>
  <si>
    <t xml:space="preserve">https://mailcontent.icicidirect.com/mailcontent/idirect_symbiotec_convictionidea.pdf</t>
  </si>
  <si>
    <t xml:space="preserve">Dr. Reddy's MPSS launch release (IQVIA US$144 mn, MAT Feb 2022), SEC 6-K exhibit</t>
  </si>
  <si>
    <t xml:space="preserve">https://www.sec.gov/Archives/edgar/data/1135951/000157587222000246/drr0379_ex99-2.htm</t>
  </si>
  <si>
    <t xml:space="preserve">Hikma MPSS approval release, 9 Mar 2016 (IMS US$123.5 mn)</t>
  </si>
  <si>
    <t xml:space="preserve">https://hikma.com/media/3cpbifha/09032016-product-hikma-receives-fda-approval-for-methylprednisolone-sodium-succinate-injection.pdf</t>
  </si>
  <si>
    <t xml:space="preserve">BioSpectrum on Aurobindo MPSS approval (IMS US$102 mn)</t>
  </si>
  <si>
    <t xml:space="preserve">https://biospectrumindia.com/news/95/6186/another-fda-approval-in-aurobindos-kitty.html</t>
  </si>
  <si>
    <t xml:space="preserve">Caplin Steriles MPA approval filing, Jan 2026 (IQVIA US$57.4 mn)</t>
  </si>
  <si>
    <t xml:space="preserve">https://bsmedia.business-standard.com/_media/bs/data/announcements/bse/27012026/a9ea92dd-a2a8-4632-8e08-e434fdcec6fc.pdf</t>
  </si>
  <si>
    <t xml:space="preserve">S32</t>
  </si>
  <si>
    <t xml:space="preserve">Pfizer FY2019 results release (Medrol 2019 and 2018), SEC exhibit 99</t>
  </si>
  <si>
    <t xml:space="preserve">https://www.sec.gov/Archives/edgar/data/78003/000007800320000003/pfe-12312019xex99.htm</t>
  </si>
  <si>
    <t xml:space="preserve">S33</t>
  </si>
  <si>
    <t xml:space="preserve">Pfizer FY2021 results release (Medrol 2021 and 2020), SEC exhibit 99</t>
  </si>
  <si>
    <t xml:space="preserve">https://www.sec.gov/Archives/edgar/data/78003/000007800322000003/pfe-12312021xex99.htm</t>
  </si>
  <si>
    <t xml:space="preserve">S34</t>
  </si>
  <si>
    <t xml:space="preserve">Pfizer FY2023 results release (Medrol 2023 and 2022), SEC exhibit 99</t>
  </si>
  <si>
    <t xml:space="preserve">https://www.sec.gov/Archives/edgar/data/78003/000007800324000017/pfe-12312023xex99.htm</t>
  </si>
  <si>
    <t xml:space="preserve">S35</t>
  </si>
  <si>
    <t xml:space="preserve">Pfizer 2024 Form 10-K (US$475 mn Medrol impairment)</t>
  </si>
  <si>
    <t xml:space="preserve">https://www.sec.gov/Archives/edgar/data/78003/000007800325000054/pfe-20241231.htm</t>
  </si>
  <si>
    <t xml:space="preserve">S36</t>
  </si>
  <si>
    <t xml:space="preserve">Pfizer Connecticut WAC disclosure, Solu-Cortef, 09 Jul 2024</t>
  </si>
  <si>
    <t xml:space="preserve">https://cdn.pfizer.com/pfizercom/products/ctprescribers/SOLU-CORTEFCTPriceDisclosureShortForm07092024.pdf</t>
  </si>
  <si>
    <t xml:space="preserve">S37</t>
  </si>
  <si>
    <t xml:space="preserve">Pfizer Connecticut WAC disclosure, Solu-Cortef, 28 Mar 2025</t>
  </si>
  <si>
    <t xml:space="preserve">https://cdn.pfizer.com/pfizercom/products/ctprescribers/SOLU-CORTEFCTPriceDisclosureShortForm03282025.pdf</t>
  </si>
  <si>
    <t xml:space="preserve">S38</t>
  </si>
  <si>
    <t xml:space="preserve">Pfizer Connecticut WAC disclosure, Solu-Cortef, 28 Jul 2025</t>
  </si>
  <si>
    <t xml:space="preserve">https://cdn.pfizer.com/pfizercom/products/ctprescribers/SOLU-CORTEFCTPriceDisclosureShortForm07282025.pdf</t>
  </si>
  <si>
    <t xml:space="preserve">S39</t>
  </si>
  <si>
    <t xml:space="preserve">Pfizer Connecticut WAC disclosure, Solu-Cortef, 03 Oct 2025</t>
  </si>
  <si>
    <t xml:space="preserve">https://cdn.pfizer.com/pfizercom/products/ctprescribers/SOLU-CORTEFCTPriceDisclosureShortForm10032025.pdf</t>
  </si>
  <si>
    <t xml:space="preserve">S40</t>
  </si>
  <si>
    <t xml:space="preserve">Pfizer Connecticut WAC disclosure, Solu-Cortef, 09 Jan 2026</t>
  </si>
  <si>
    <t xml:space="preserve">https://cdn.pfizer.com/pfizercom/products/ctprescribers/SOLU-CORTEFCTPriceDisclosureShortForm01092026.pdf</t>
  </si>
  <si>
    <t xml:space="preserve">S41</t>
  </si>
  <si>
    <t xml:space="preserve">Pfizer Connecticut WAC disclosure, Solu-Cortef, 06 Jul 2026</t>
  </si>
  <si>
    <t xml:space="preserve">https://cdn.pfizer.com/pfizercom/products/ctprescribers/SOLU-CORTEFCTPriceDisclosureShortForm07062026.pdf</t>
  </si>
  <si>
    <t xml:space="preserve">S42</t>
  </si>
  <si>
    <t xml:space="preserve">Pfizer Connecticut WAC disclosure, Solu-Medrol, 09 Jul 2024</t>
  </si>
  <si>
    <t xml:space="preserve">https://cdn.pfizer.com/pfizercom/products/ctprescribers/SOLU-MEDROLCTPriceDisclosureShortForm07092024.pdf</t>
  </si>
  <si>
    <t xml:space="preserve">S43</t>
  </si>
  <si>
    <t xml:space="preserve">Pfizer Connecticut WAC disclosure, Solu-Medrol, 28 Mar 2025</t>
  </si>
  <si>
    <t xml:space="preserve">https://cdn.pfizer.com/pfizercom/products/ctprescribers/SOLU-MEDROLCTPriceDisclosureShortForm03282025.pdf</t>
  </si>
  <si>
    <t xml:space="preserve">S44</t>
  </si>
  <si>
    <t xml:space="preserve">Pfizer Connecticut WAC disclosure, Solu-Medrol, 28 Jul 2025</t>
  </si>
  <si>
    <t xml:space="preserve">https://cdn.pfizer.com/pfizercom/products/ctprescribers/SOLU-MEDROLCTPriceDisclosureShortForm07282025.pdf</t>
  </si>
  <si>
    <t xml:space="preserve">S45</t>
  </si>
  <si>
    <t xml:space="preserve">Pfizer Connecticut WAC disclosure, Solu-Medrol, 03 Oct 2025</t>
  </si>
  <si>
    <t xml:space="preserve">https://cdn.pfizer.com/pfizercom/products/ctprescribers/SOLU-MEDROLCTPriceDisclosureShortForm10032025.pdf</t>
  </si>
  <si>
    <t xml:space="preserve">S46</t>
  </si>
  <si>
    <t xml:space="preserve">Pfizer Connecticut WAC disclosure, Solu-Medrol, 09 Jan 2026</t>
  </si>
  <si>
    <t xml:space="preserve">https://cdn.pfizer.com/pfizercom/products/ctprescribers/SOLU-MEDROLCTPriceDisclosureShortForm01092026.pdf</t>
  </si>
  <si>
    <t xml:space="preserve">S47</t>
  </si>
  <si>
    <t xml:space="preserve">Pfizer Connecticut WAC disclosure, Solu-Medrol, 06 Jul 2026</t>
  </si>
  <si>
    <t xml:space="preserve">https://cdn.pfizer.com/pfizercom/products/ctprescribers/SOLU-MEDROLCTPriceDisclosureShortForm07062026.pdf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</si>
</sst>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\$#,##0.000;&quot;($&quot;#,##0.000\);\-"/>
    <numFmt numFmtId="168" formatCode="0"/>
    <numFmt numFmtId="169" formatCode="0.00\x"/>
    <numFmt numFmtId="170" formatCode="#,##0;\(#,##0\);\-"/>
    <numFmt numFmtId="171" formatCode="\$#,##0.0;&quot;($&quot;#,##0.0\);\-"/>
    <numFmt numFmtId="172" formatCode="dd\-mmm\-yyyy"/>
    <numFmt numFmtId="173" formatCode="0.00"/>
    <numFmt numFmtId="174" formatCode="0.0"/>
    <numFmt numFmtId="175" formatCode="\$#,##0.0000"/>
    <numFmt numFmtId="176" formatCode="#,##0.0;\(#,##0.0\);\-"/>
    <numFmt numFmtId="177" formatCode="\$#,##0;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cms.gov/Medicare/Medicare-Fee-for-Service-Part-B-Drugs/McrPartBDrugAvgSalesPrice/downloads/2016-January-ASP-Pricing-File.zip" TargetMode="External"/><Relationship Id="rId2" Type="http://schemas.openxmlformats.org/officeDocument/2006/relationships/hyperlink" Target="https://www.cms.gov/Medicare/Medicare-Fee-for-Service-Part-B-Drugs/McrPartBDrugAvgSalesPrice/downloads/2016-April-ASP-Pricing-File.zip" TargetMode="External"/><Relationship Id="rId3" Type="http://schemas.openxmlformats.org/officeDocument/2006/relationships/hyperlink" Target="https://www.cms.gov/Medicare/Medicare-Fee-for-Service-Part-B-Drugs/McrPartBDrugAvgSalesPrice/Downloads/2016-July-ASP-Pricing-File.zip" TargetMode="External"/><Relationship Id="rId4" Type="http://schemas.openxmlformats.org/officeDocument/2006/relationships/hyperlink" Target="https://www.cms.gov/Medicare/Medicare-Fee-for-Service-Part-B-Drugs/McrPartBDrugAvgSalesPrice/Downloads/2016-October-ASP-Pricing-File.zip" TargetMode="External"/><Relationship Id="rId5" Type="http://schemas.openxmlformats.org/officeDocument/2006/relationships/hyperlink" Target="https://www.cms.gov/Medicare/Medicare-Fee-for-Service-Part-B-Drugs/McrPartBDrugAvgSalesPrice/Downloads/2017-January-ASP-Pricing-Files.zip" TargetMode="External"/><Relationship Id="rId6" Type="http://schemas.openxmlformats.org/officeDocument/2006/relationships/hyperlink" Target="https://www.cms.gov/Medicare/Medicare-Fee-for-Service-Part-B-Drugs/McrPartBDrugAvgSalesPrice/Downloads/2017-April-ASP-Pricing.zip" TargetMode="External"/><Relationship Id="rId7" Type="http://schemas.openxmlformats.org/officeDocument/2006/relationships/hyperlink" Target="https://www.cms.gov/Medicare/Medicare-Fee-for-Service-Part-B-Drugs/McrPartBDrugAvgSalesPrice/Downloads/2017-July-ASP-Pricing-File.zip" TargetMode="External"/><Relationship Id="rId8" Type="http://schemas.openxmlformats.org/officeDocument/2006/relationships/hyperlink" Target="https://www.cms.gov/Medicare/Medicare-Fee-for-Service-Part-B-Drugs/McrPartBDrugAvgSalesPrice/Downloads/2017-October-ASP-Pricing-File.zip" TargetMode="External"/><Relationship Id="rId9" Type="http://schemas.openxmlformats.org/officeDocument/2006/relationships/hyperlink" Target="https://www.cms.gov/Medicare/Medicare-Fee-for-Service-Part-B-Drugs/McrPartBDrugAvgSalesPrice/Downloads/2018-January-ASP-Pricing-File.zip" TargetMode="External"/><Relationship Id="rId10" Type="http://schemas.openxmlformats.org/officeDocument/2006/relationships/hyperlink" Target="https://www.cms.gov/Medicare/Medicare-Fee-for-Service-Part-B-Drugs/McrPartBDrugAvgSalesPrice/Downloads/2018-April-ASP-Pricing-File.zip" TargetMode="External"/><Relationship Id="rId11" Type="http://schemas.openxmlformats.org/officeDocument/2006/relationships/hyperlink" Target="https://www.cms.gov/Medicare/Medicare-Fee-for-Service-Part-B-Drugs/McrPartBDrugAvgSalesPrice/Downloads/2018-July-ASP-Pricing-File.zip" TargetMode="External"/><Relationship Id="rId12" Type="http://schemas.openxmlformats.org/officeDocument/2006/relationships/hyperlink" Target="https://www.cms.gov/Medicare/Medicare-Fee-for-Service-Part-B-Drugs/McrPartBDrugAvgSalesPrice/Downloads/2018-Oct-ASP-Pricing-File.zip" TargetMode="External"/><Relationship Id="rId13" Type="http://schemas.openxmlformats.org/officeDocument/2006/relationships/hyperlink" Target="https://www.cms.gov/Medicare/Medicare-Fee-for-Service-Part-B-Drugs/McrPartBDrugAvgSalesPrice/Downloads/2019-January-ASP-Pricing-File.zip" TargetMode="External"/><Relationship Id="rId14" Type="http://schemas.openxmlformats.org/officeDocument/2006/relationships/hyperlink" Target="https://www.cms.gov/Medicare/Medicare-Fee-for-Service-Part-B-Drugs/McrPartBDrugAvgSalesPrice/downloads/April-2019-ASP-Pricing-File.zip" TargetMode="External"/><Relationship Id="rId15" Type="http://schemas.openxmlformats.org/officeDocument/2006/relationships/hyperlink" Target="https://www.cms.gov/Medicare/Medicare-Fee-for-Service-Part-B-Drugs/McrPartBDrugAvgSalesPrice/Downloads/2019-July-ASP-Pricing-File.zip" TargetMode="External"/><Relationship Id="rId16" Type="http://schemas.openxmlformats.org/officeDocument/2006/relationships/hyperlink" Target="https://www.cms.gov/Medicare/Medicare-Fee-for-Service-Part-B-Drugs/McrPartBDrugAvgSalesPrice/downloads/2019-Oct-ASP-Pricing-File.zip" TargetMode="External"/><Relationship Id="rId17" Type="http://schemas.openxmlformats.org/officeDocument/2006/relationships/hyperlink" Target="https://www.cms.gov/files/zip/january-2020-asp-pricing-file.zip" TargetMode="External"/><Relationship Id="rId18" Type="http://schemas.openxmlformats.org/officeDocument/2006/relationships/hyperlink" Target="https://www.cms.gov/files/zip/april-2020-asp-pricing-file.zip" TargetMode="External"/><Relationship Id="rId19" Type="http://schemas.openxmlformats.org/officeDocument/2006/relationships/hyperlink" Target="https://www.cms.gov/files/zip/july-2020-asp-pricing-file-updated-06012020.zip" TargetMode="External"/><Relationship Id="rId20" Type="http://schemas.openxmlformats.org/officeDocument/2006/relationships/hyperlink" Target="https://www.cms.gov/files/zip/october-2020-asp-pricing-file.zip" TargetMode="External"/><Relationship Id="rId21" Type="http://schemas.openxmlformats.org/officeDocument/2006/relationships/hyperlink" Target="https://www.cms.gov/files/zip/january-2021-asp-pricing-file.zip" TargetMode="External"/><Relationship Id="rId22" Type="http://schemas.openxmlformats.org/officeDocument/2006/relationships/hyperlink" Target="https://www.cms.gov/files/zip/april-2021-asp-pricing-file.zip" TargetMode="External"/><Relationship Id="rId23" Type="http://schemas.openxmlformats.org/officeDocument/2006/relationships/hyperlink" Target="https://www.cms.gov/files/zip/july-2021-asp-pricing-file.zip" TargetMode="External"/><Relationship Id="rId24" Type="http://schemas.openxmlformats.org/officeDocument/2006/relationships/hyperlink" Target="https://www.cms.gov/files/zip/october-2021-asp-pricing-file.zip" TargetMode="External"/><Relationship Id="rId25" Type="http://schemas.openxmlformats.org/officeDocument/2006/relationships/hyperlink" Target="https://www.cms.gov/files/zip/january-2022-asp-pricing-file.zip" TargetMode="External"/><Relationship Id="rId26" Type="http://schemas.openxmlformats.org/officeDocument/2006/relationships/hyperlink" Target="https://www.cms.gov/files/zip/april-2022-asp-pricing-file.zip" TargetMode="External"/><Relationship Id="rId27" Type="http://schemas.openxmlformats.org/officeDocument/2006/relationships/hyperlink" Target="https://www.cms.gov/files/zip/july-2022-asp-pricing-file.zip" TargetMode="External"/><Relationship Id="rId28" Type="http://schemas.openxmlformats.org/officeDocument/2006/relationships/hyperlink" Target="https://www.cms.gov/files/zip/october-2022-asp-pricing-file.zip" TargetMode="External"/><Relationship Id="rId29" Type="http://schemas.openxmlformats.org/officeDocument/2006/relationships/hyperlink" Target="https://www.cms.gov/files/zip/january-2023-asp-pricing-file.zip" TargetMode="External"/><Relationship Id="rId30" Type="http://schemas.openxmlformats.org/officeDocument/2006/relationships/hyperlink" Target="https://www.cms.gov/files/zip/april-2023-asp-pricing-file.zip" TargetMode="External"/><Relationship Id="rId31" Type="http://schemas.openxmlformats.org/officeDocument/2006/relationships/hyperlink" Target="https://www.cms.gov/files/zip/july-2023-asp-pricing-file.zip" TargetMode="External"/><Relationship Id="rId32" Type="http://schemas.openxmlformats.org/officeDocument/2006/relationships/hyperlink" Target="https://www.cms.gov/files/zip/october-2023-asp-pricing-file.zip" TargetMode="External"/><Relationship Id="rId33" Type="http://schemas.openxmlformats.org/officeDocument/2006/relationships/hyperlink" Target="https://www.cms.gov/files/zip/january-2024-asp-pricing-file.zip" TargetMode="External"/><Relationship Id="rId34" Type="http://schemas.openxmlformats.org/officeDocument/2006/relationships/hyperlink" Target="https://www.cms.gov/files/zip/april-2024-asp-pricing-file.zip" TargetMode="External"/><Relationship Id="rId35" Type="http://schemas.openxmlformats.org/officeDocument/2006/relationships/hyperlink" Target="https://www.cms.gov/files/zip/july-2024-asp-pricing-file.zip" TargetMode="External"/><Relationship Id="rId36" Type="http://schemas.openxmlformats.org/officeDocument/2006/relationships/hyperlink" Target="https://www.cms.gov/files/zip/october-2024-asp-pricing-file.zip" TargetMode="External"/><Relationship Id="rId37" Type="http://schemas.openxmlformats.org/officeDocument/2006/relationships/hyperlink" Target="https://www.cms.gov/files/zip/january-2025-asp-pricing-file-03/11/25-final-file.zip" TargetMode="External"/><Relationship Id="rId38" Type="http://schemas.openxmlformats.org/officeDocument/2006/relationships/hyperlink" Target="https://www.cms.gov/files/zip/april-2025-asp-pricing-file.zip" TargetMode="External"/><Relationship Id="rId39" Type="http://schemas.openxmlformats.org/officeDocument/2006/relationships/hyperlink" Target="https://www.cms.gov/files/zip/july-2025-asp-pricing-file.zip" TargetMode="External"/><Relationship Id="rId40" Type="http://schemas.openxmlformats.org/officeDocument/2006/relationships/hyperlink" Target="https://www.cms.gov/files/zip/october-2025-asp-pricing-final-file.zip" TargetMode="External"/><Relationship Id="rId41" Type="http://schemas.openxmlformats.org/officeDocument/2006/relationships/hyperlink" Target="https://www.cms.gov/files/zip/january-2026-medicare-part-b-payment-limit-files.zip" TargetMode="External"/><Relationship Id="rId42" Type="http://schemas.openxmlformats.org/officeDocument/2006/relationships/hyperlink" Target="https://www.cms.gov/files/zip/april-2026-medicare-part-b-payment-limit-files-final-file.zip" TargetMode="External"/><Relationship Id="rId43" Type="http://schemas.openxmlformats.org/officeDocument/2006/relationships/hyperlink" Target="https://www.cms.gov/files/zip/july-2026-medicare-part-b-payment-limit-files.zip" TargetMode="External"/><Relationship Id="rId44" Type="http://schemas.openxmlformats.org/officeDocument/2006/relationships/hyperlink" Target="https://www.cms.gov/files/zip/october-2026-medicare-part-b-payment-limit-files-final.zip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cdn.pfizer.com/pfizercom/products/ctprescribers/SOLU-CORTEFCTPriceDisclosureShortForm07092024.pdf" TargetMode="External"/><Relationship Id="rId2" Type="http://schemas.openxmlformats.org/officeDocument/2006/relationships/hyperlink" Target="https://cdn.pfizer.com/pfizercom/products/ctprescribers/SOLU-CORTEFCTPriceDisclosureShortForm03282025.pdf" TargetMode="External"/><Relationship Id="rId3" Type="http://schemas.openxmlformats.org/officeDocument/2006/relationships/hyperlink" Target="https://cdn.pfizer.com/pfizercom/products/ctprescribers/SOLU-CORTEFCTPriceDisclosureShortForm07282025.pdf" TargetMode="External"/><Relationship Id="rId4" Type="http://schemas.openxmlformats.org/officeDocument/2006/relationships/hyperlink" Target="https://cdn.pfizer.com/pfizercom/products/ctprescribers/SOLU-CORTEFCTPriceDisclosureShortForm10032025.pdf" TargetMode="External"/><Relationship Id="rId5" Type="http://schemas.openxmlformats.org/officeDocument/2006/relationships/hyperlink" Target="https://cdn.pfizer.com/pfizercom/products/ctprescribers/SOLU-CORTEFCTPriceDisclosureShortForm01092026.pdf" TargetMode="External"/><Relationship Id="rId6" Type="http://schemas.openxmlformats.org/officeDocument/2006/relationships/hyperlink" Target="https://cdn.pfizer.com/pfizercom/products/ctprescribers/SOLU-CORTEFCTPriceDisclosureShortForm07062026.pdf" TargetMode="External"/><Relationship Id="rId7" Type="http://schemas.openxmlformats.org/officeDocument/2006/relationships/hyperlink" Target="https://cdn.pfizer.com/pfizercom/products/ctprescribers/SOLU-CORTEFCTPriceDisclosureShortForm07092024.pdf" TargetMode="External"/><Relationship Id="rId8" Type="http://schemas.openxmlformats.org/officeDocument/2006/relationships/hyperlink" Target="https://cdn.pfizer.com/pfizercom/products/ctprescribers/SOLU-CORTEFCTPriceDisclosureShortForm03282025.pdf" TargetMode="External"/><Relationship Id="rId9" Type="http://schemas.openxmlformats.org/officeDocument/2006/relationships/hyperlink" Target="https://cdn.pfizer.com/pfizercom/products/ctprescribers/SOLU-CORTEFCTPriceDisclosureShortForm07282025.pdf" TargetMode="External"/><Relationship Id="rId10" Type="http://schemas.openxmlformats.org/officeDocument/2006/relationships/hyperlink" Target="https://cdn.pfizer.com/pfizercom/products/ctprescribers/SOLU-CORTEFCTPriceDisclosureShortForm10032025.pdf" TargetMode="External"/><Relationship Id="rId11" Type="http://schemas.openxmlformats.org/officeDocument/2006/relationships/hyperlink" Target="https://cdn.pfizer.com/pfizercom/products/ctprescribers/SOLU-CORTEFCTPriceDisclosureShortForm01092026.pdf" TargetMode="External"/><Relationship Id="rId12" Type="http://schemas.openxmlformats.org/officeDocument/2006/relationships/hyperlink" Target="https://cdn.pfizer.com/pfizercom/products/ctprescribers/SOLU-CORTEFCTPriceDisclosureShortForm07062026.pdf" TargetMode="External"/><Relationship Id="rId13" Type="http://schemas.openxmlformats.org/officeDocument/2006/relationships/hyperlink" Target="https://cdn.pfizer.com/pfizercom/products/ctprescribers/SOLU-CORTEFCTPriceDisclosureShortForm07092024.pdf" TargetMode="External"/><Relationship Id="rId14" Type="http://schemas.openxmlformats.org/officeDocument/2006/relationships/hyperlink" Target="https://cdn.pfizer.com/pfizercom/products/ctprescribers/SOLU-CORTEFCTPriceDisclosureShortForm03282025.pdf" TargetMode="External"/><Relationship Id="rId15" Type="http://schemas.openxmlformats.org/officeDocument/2006/relationships/hyperlink" Target="https://cdn.pfizer.com/pfizercom/products/ctprescribers/SOLU-CORTEFCTPriceDisclosureShortForm07282025.pdf" TargetMode="External"/><Relationship Id="rId16" Type="http://schemas.openxmlformats.org/officeDocument/2006/relationships/hyperlink" Target="https://cdn.pfizer.com/pfizercom/products/ctprescribers/SOLU-CORTEFCTPriceDisclosureShortForm10032025.pdf" TargetMode="External"/><Relationship Id="rId17" Type="http://schemas.openxmlformats.org/officeDocument/2006/relationships/hyperlink" Target="https://cdn.pfizer.com/pfizercom/products/ctprescribers/SOLU-CORTEFCTPriceDisclosureShortForm01092026.pdf" TargetMode="External"/><Relationship Id="rId18" Type="http://schemas.openxmlformats.org/officeDocument/2006/relationships/hyperlink" Target="https://cdn.pfizer.com/pfizercom/products/ctprescribers/SOLU-CORTEFCTPriceDisclosureShortForm07062026.pdf" TargetMode="External"/><Relationship Id="rId19" Type="http://schemas.openxmlformats.org/officeDocument/2006/relationships/hyperlink" Target="https://cdn.pfizer.com/pfizercom/products/ctprescribers/SOLU-CORTEFCTPriceDisclosureShortForm07092024.pdf" TargetMode="External"/><Relationship Id="rId20" Type="http://schemas.openxmlformats.org/officeDocument/2006/relationships/hyperlink" Target="https://cdn.pfizer.com/pfizercom/products/ctprescribers/SOLU-CORTEFCTPriceDisclosureShortForm03282025.pdf" TargetMode="External"/><Relationship Id="rId21" Type="http://schemas.openxmlformats.org/officeDocument/2006/relationships/hyperlink" Target="https://cdn.pfizer.com/pfizercom/products/ctprescribers/SOLU-CORTEFCTPriceDisclosureShortForm07282025.pdf" TargetMode="External"/><Relationship Id="rId22" Type="http://schemas.openxmlformats.org/officeDocument/2006/relationships/hyperlink" Target="https://cdn.pfizer.com/pfizercom/products/ctprescribers/SOLU-CORTEFCTPriceDisclosureShortForm10032025.pdf" TargetMode="External"/><Relationship Id="rId23" Type="http://schemas.openxmlformats.org/officeDocument/2006/relationships/hyperlink" Target="https://cdn.pfizer.com/pfizercom/products/ctprescribers/SOLU-CORTEFCTPriceDisclosureShortForm01092026.pdf" TargetMode="External"/><Relationship Id="rId24" Type="http://schemas.openxmlformats.org/officeDocument/2006/relationships/hyperlink" Target="https://cdn.pfizer.com/pfizercom/products/ctprescribers/SOLU-CORTEFCTPriceDisclosureShortForm07062026.pdf" TargetMode="External"/><Relationship Id="rId25" Type="http://schemas.openxmlformats.org/officeDocument/2006/relationships/hyperlink" Target="https://cdn.pfizer.com/pfizercom/products/ctprescribers/SOLU-CORTEFCTPriceDisclosureShortForm07092024.pdf" TargetMode="External"/><Relationship Id="rId26" Type="http://schemas.openxmlformats.org/officeDocument/2006/relationships/hyperlink" Target="https://cdn.pfizer.com/pfizercom/products/ctprescribers/SOLU-CORTEFCTPriceDisclosureShortForm03282025.pdf" TargetMode="External"/><Relationship Id="rId27" Type="http://schemas.openxmlformats.org/officeDocument/2006/relationships/hyperlink" Target="https://cdn.pfizer.com/pfizercom/products/ctprescribers/SOLU-CORTEFCTPriceDisclosureShortForm07282025.pdf" TargetMode="External"/><Relationship Id="rId28" Type="http://schemas.openxmlformats.org/officeDocument/2006/relationships/hyperlink" Target="https://cdn.pfizer.com/pfizercom/products/ctprescribers/SOLU-CORTEFCTPriceDisclosureShortForm10032025.pdf" TargetMode="External"/><Relationship Id="rId29" Type="http://schemas.openxmlformats.org/officeDocument/2006/relationships/hyperlink" Target="https://cdn.pfizer.com/pfizercom/products/ctprescribers/SOLU-CORTEFCTPriceDisclosureShortForm01092026.pdf" TargetMode="External"/><Relationship Id="rId30" Type="http://schemas.openxmlformats.org/officeDocument/2006/relationships/hyperlink" Target="https://cdn.pfizer.com/pfizercom/products/ctprescribers/SOLU-CORTEFCTPriceDisclosureShortForm07062026.pdf" TargetMode="External"/><Relationship Id="rId31" Type="http://schemas.openxmlformats.org/officeDocument/2006/relationships/hyperlink" Target="https://cdn.pfizer.com/pfizercom/products/ctprescribers/SOLU-CORTEFCTPriceDisclosureShortForm07092024.pdf" TargetMode="External"/><Relationship Id="rId32" Type="http://schemas.openxmlformats.org/officeDocument/2006/relationships/hyperlink" Target="https://cdn.pfizer.com/pfizercom/products/ctprescribers/SOLU-CORTEFCTPriceDisclosureShortForm03282025.pdf" TargetMode="External"/><Relationship Id="rId33" Type="http://schemas.openxmlformats.org/officeDocument/2006/relationships/hyperlink" Target="https://cdn.pfizer.com/pfizercom/products/ctprescribers/SOLU-CORTEFCTPriceDisclosureShortForm07282025.pdf" TargetMode="External"/><Relationship Id="rId34" Type="http://schemas.openxmlformats.org/officeDocument/2006/relationships/hyperlink" Target="https://cdn.pfizer.com/pfizercom/products/ctprescribers/SOLU-CORTEFCTPriceDisclosureShortForm10032025.pdf" TargetMode="External"/><Relationship Id="rId35" Type="http://schemas.openxmlformats.org/officeDocument/2006/relationships/hyperlink" Target="https://cdn.pfizer.com/pfizercom/products/ctprescribers/SOLU-CORTEFCTPriceDisclosureShortForm01092026.pdf" TargetMode="External"/><Relationship Id="rId36" Type="http://schemas.openxmlformats.org/officeDocument/2006/relationships/hyperlink" Target="https://cdn.pfizer.com/pfizercom/products/ctprescribers/SOLU-CORTEFCTPriceDisclosureShortForm07062026.pdf" TargetMode="External"/><Relationship Id="rId37" Type="http://schemas.openxmlformats.org/officeDocument/2006/relationships/hyperlink" Target="https://cdn.pfizer.com/pfizercom/products/ctprescribers/SOLU-CORTEFCTPriceDisclosureShortForm07092024.pdf" TargetMode="External"/><Relationship Id="rId38" Type="http://schemas.openxmlformats.org/officeDocument/2006/relationships/hyperlink" Target="https://cdn.pfizer.com/pfizercom/products/ctprescribers/SOLU-CORTEFCTPriceDisclosureShortForm03282025.pdf" TargetMode="External"/><Relationship Id="rId39" Type="http://schemas.openxmlformats.org/officeDocument/2006/relationships/hyperlink" Target="https://cdn.pfizer.com/pfizercom/products/ctprescribers/SOLU-CORTEFCTPriceDisclosureShortForm07282025.pdf" TargetMode="External"/><Relationship Id="rId40" Type="http://schemas.openxmlformats.org/officeDocument/2006/relationships/hyperlink" Target="https://cdn.pfizer.com/pfizercom/products/ctprescribers/SOLU-CORTEFCTPriceDisclosureShortForm10032025.pdf" TargetMode="External"/><Relationship Id="rId41" Type="http://schemas.openxmlformats.org/officeDocument/2006/relationships/hyperlink" Target="https://cdn.pfizer.com/pfizercom/products/ctprescribers/SOLU-CORTEFCTPriceDisclosureShortForm01092026.pdf" TargetMode="External"/><Relationship Id="rId42" Type="http://schemas.openxmlformats.org/officeDocument/2006/relationships/hyperlink" Target="https://cdn.pfizer.com/pfizercom/products/ctprescribers/SOLU-CORTEFCTPriceDisclosureShortForm07062026.pdf" TargetMode="External"/><Relationship Id="rId43" Type="http://schemas.openxmlformats.org/officeDocument/2006/relationships/hyperlink" Target="https://cdn.pfizer.com/pfizercom/products/ctprescribers/SOLU-MEDROLCTPriceDisclosureShortForm07092024.pdf" TargetMode="External"/><Relationship Id="rId44" Type="http://schemas.openxmlformats.org/officeDocument/2006/relationships/hyperlink" Target="https://cdn.pfizer.com/pfizercom/products/ctprescribers/SOLU-MEDROLCTPriceDisclosureShortForm03282025.pdf" TargetMode="External"/><Relationship Id="rId45" Type="http://schemas.openxmlformats.org/officeDocument/2006/relationships/hyperlink" Target="https://cdn.pfizer.com/pfizercom/products/ctprescribers/SOLU-MEDROLCTPriceDisclosureShortForm07282025.pdf" TargetMode="External"/><Relationship Id="rId46" Type="http://schemas.openxmlformats.org/officeDocument/2006/relationships/hyperlink" Target="https://cdn.pfizer.com/pfizercom/products/ctprescribers/SOLU-MEDROLCTPriceDisclosureShortForm10032025.pdf" TargetMode="External"/><Relationship Id="rId47" Type="http://schemas.openxmlformats.org/officeDocument/2006/relationships/hyperlink" Target="https://cdn.pfizer.com/pfizercom/products/ctprescribers/SOLU-MEDROLCTPriceDisclosureShortForm01092026.pdf" TargetMode="External"/><Relationship Id="rId48" Type="http://schemas.openxmlformats.org/officeDocument/2006/relationships/hyperlink" Target="https://cdn.pfizer.com/pfizercom/products/ctprescribers/SOLU-MEDROLCTPriceDisclosureShortForm07062026.pdf" TargetMode="External"/><Relationship Id="rId49" Type="http://schemas.openxmlformats.org/officeDocument/2006/relationships/hyperlink" Target="https://cdn.pfizer.com/pfizercom/products/ctprescribers/SOLU-MEDROLCTPriceDisclosureShortForm07092024.pdf" TargetMode="External"/><Relationship Id="rId50" Type="http://schemas.openxmlformats.org/officeDocument/2006/relationships/hyperlink" Target="https://cdn.pfizer.com/pfizercom/products/ctprescribers/SOLU-MEDROLCTPriceDisclosureShortForm03282025.pdf" TargetMode="External"/><Relationship Id="rId51" Type="http://schemas.openxmlformats.org/officeDocument/2006/relationships/hyperlink" Target="https://cdn.pfizer.com/pfizercom/products/ctprescribers/SOLU-MEDROLCTPriceDisclosureShortForm07282025.pdf" TargetMode="External"/><Relationship Id="rId52" Type="http://schemas.openxmlformats.org/officeDocument/2006/relationships/hyperlink" Target="https://cdn.pfizer.com/pfizercom/products/ctprescribers/SOLU-MEDROLCTPriceDisclosureShortForm10032025.pdf" TargetMode="External"/><Relationship Id="rId53" Type="http://schemas.openxmlformats.org/officeDocument/2006/relationships/hyperlink" Target="https://cdn.pfizer.com/pfizercom/products/ctprescribers/SOLU-MEDROLCTPriceDisclosureShortForm01092026.pdf" TargetMode="External"/><Relationship Id="rId54" Type="http://schemas.openxmlformats.org/officeDocument/2006/relationships/hyperlink" Target="https://cdn.pfizer.com/pfizercom/products/ctprescribers/SOLU-MEDROLCTPriceDisclosureShortForm07062026.pdf" TargetMode="External"/><Relationship Id="rId55" Type="http://schemas.openxmlformats.org/officeDocument/2006/relationships/hyperlink" Target="https://cdn.pfizer.com/pfizercom/products/ctprescribers/SOLU-MEDROLCTPriceDisclosureShortForm07092024.pdf" TargetMode="External"/><Relationship Id="rId56" Type="http://schemas.openxmlformats.org/officeDocument/2006/relationships/hyperlink" Target="https://cdn.pfizer.com/pfizercom/products/ctprescribers/SOLU-MEDROLCTPriceDisclosureShortForm03282025.pdf" TargetMode="External"/><Relationship Id="rId57" Type="http://schemas.openxmlformats.org/officeDocument/2006/relationships/hyperlink" Target="https://cdn.pfizer.com/pfizercom/products/ctprescribers/SOLU-MEDROLCTPriceDisclosureShortForm07282025.pdf" TargetMode="External"/><Relationship Id="rId58" Type="http://schemas.openxmlformats.org/officeDocument/2006/relationships/hyperlink" Target="https://cdn.pfizer.com/pfizercom/products/ctprescribers/SOLU-MEDROLCTPriceDisclosureShortForm10032025.pdf" TargetMode="External"/><Relationship Id="rId59" Type="http://schemas.openxmlformats.org/officeDocument/2006/relationships/hyperlink" Target="https://cdn.pfizer.com/pfizercom/products/ctprescribers/SOLU-MEDROLCTPriceDisclosureShortForm01092026.pdf" TargetMode="External"/><Relationship Id="rId60" Type="http://schemas.openxmlformats.org/officeDocument/2006/relationships/hyperlink" Target="https://cdn.pfizer.com/pfizercom/products/ctprescribers/SOLU-MEDROLCTPriceDisclosureShortForm07062026.pdf" TargetMode="External"/><Relationship Id="rId61" Type="http://schemas.openxmlformats.org/officeDocument/2006/relationships/hyperlink" Target="https://cdn.pfizer.com/pfizercom/products/ctprescribers/SOLU-MEDROLCTPriceDisclosureShortForm07092024.pdf" TargetMode="External"/><Relationship Id="rId62" Type="http://schemas.openxmlformats.org/officeDocument/2006/relationships/hyperlink" Target="https://cdn.pfizer.com/pfizercom/products/ctprescribers/SOLU-MEDROLCTPriceDisclosureShortForm03282025.pdf" TargetMode="External"/><Relationship Id="rId63" Type="http://schemas.openxmlformats.org/officeDocument/2006/relationships/hyperlink" Target="https://cdn.pfizer.com/pfizercom/products/ctprescribers/SOLU-MEDROLCTPriceDisclosureShortForm07282025.pdf" TargetMode="External"/><Relationship Id="rId64" Type="http://schemas.openxmlformats.org/officeDocument/2006/relationships/hyperlink" Target="https://cdn.pfizer.com/pfizercom/products/ctprescribers/SOLU-MEDROLCTPriceDisclosureShortForm10032025.pdf" TargetMode="External"/><Relationship Id="rId65" Type="http://schemas.openxmlformats.org/officeDocument/2006/relationships/hyperlink" Target="https://cdn.pfizer.com/pfizercom/products/ctprescribers/SOLU-MEDROLCTPriceDisclosureShortForm01092026.pdf" TargetMode="External"/><Relationship Id="rId66" Type="http://schemas.openxmlformats.org/officeDocument/2006/relationships/hyperlink" Target="https://cdn.pfizer.com/pfizercom/products/ctprescribers/SOLU-MEDROLCTPriceDisclosureShortForm07062026.pdf" TargetMode="External"/><Relationship Id="rId67" Type="http://schemas.openxmlformats.org/officeDocument/2006/relationships/hyperlink" Target="https://cdn.pfizer.com/pfizercom/products/ctprescribers/SOLU-MEDROLCTPriceDisclosureShortForm07092024.pdf" TargetMode="External"/><Relationship Id="rId68" Type="http://schemas.openxmlformats.org/officeDocument/2006/relationships/hyperlink" Target="https://cdn.pfizer.com/pfizercom/products/ctprescribers/SOLU-MEDROLCTPriceDisclosureShortForm03282025.pdf" TargetMode="External"/><Relationship Id="rId69" Type="http://schemas.openxmlformats.org/officeDocument/2006/relationships/hyperlink" Target="https://cdn.pfizer.com/pfizercom/products/ctprescribers/SOLU-MEDROLCTPriceDisclosureShortForm07282025.pdf" TargetMode="External"/><Relationship Id="rId70" Type="http://schemas.openxmlformats.org/officeDocument/2006/relationships/hyperlink" Target="https://cdn.pfizer.com/pfizercom/products/ctprescribers/SOLU-MEDROLCTPriceDisclosureShortForm10032025.pdf" TargetMode="External"/><Relationship Id="rId71" Type="http://schemas.openxmlformats.org/officeDocument/2006/relationships/hyperlink" Target="https://cdn.pfizer.com/pfizercom/products/ctprescribers/SOLU-MEDROLCTPriceDisclosureShortForm01092026.pdf" TargetMode="External"/><Relationship Id="rId72" Type="http://schemas.openxmlformats.org/officeDocument/2006/relationships/hyperlink" Target="https://cdn.pfizer.com/pfizercom/products/ctprescribers/SOLU-MEDROLCTPriceDisclosureShortForm07062026.pdf" TargetMode="External"/><Relationship Id="rId73" Type="http://schemas.openxmlformats.org/officeDocument/2006/relationships/hyperlink" Target="https://cdn.pfizer.com/pfizercom/products/ctprescribers/SOLU-MEDROLCTPriceDisclosureShortForm07092024.pdf" TargetMode="External"/><Relationship Id="rId74" Type="http://schemas.openxmlformats.org/officeDocument/2006/relationships/hyperlink" Target="https://cdn.pfizer.com/pfizercom/products/ctprescribers/SOLU-MEDROLCTPriceDisclosureShortForm03282025.pdf" TargetMode="External"/><Relationship Id="rId75" Type="http://schemas.openxmlformats.org/officeDocument/2006/relationships/hyperlink" Target="https://cdn.pfizer.com/pfizercom/products/ctprescribers/SOLU-MEDROLCTPriceDisclosureShortForm07282025.pdf" TargetMode="External"/><Relationship Id="rId76" Type="http://schemas.openxmlformats.org/officeDocument/2006/relationships/hyperlink" Target="https://cdn.pfizer.com/pfizercom/products/ctprescribers/SOLU-MEDROLCTPriceDisclosureShortForm10032025.pdf" TargetMode="External"/><Relationship Id="rId77" Type="http://schemas.openxmlformats.org/officeDocument/2006/relationships/hyperlink" Target="https://cdn.pfizer.com/pfizercom/products/ctprescribers/SOLU-MEDROLCTPriceDisclosureShortForm01092026.pdf" TargetMode="External"/><Relationship Id="rId78" Type="http://schemas.openxmlformats.org/officeDocument/2006/relationships/hyperlink" Target="https://cdn.pfizer.com/pfizercom/products/ctprescribers/SOLU-MEDROLCTPriceDisclosureShortForm07062026.pdf" TargetMode="External"/><Relationship Id="rId79" Type="http://schemas.openxmlformats.org/officeDocument/2006/relationships/hyperlink" Target="https://cdn.pfizer.com/pfizercom/products/ctprescribers/SOLU-MEDROLCTPriceDisclosureShortForm07092024.pdf" TargetMode="External"/><Relationship Id="rId80" Type="http://schemas.openxmlformats.org/officeDocument/2006/relationships/hyperlink" Target="https://cdn.pfizer.com/pfizercom/products/ctprescribers/SOLU-MEDROLCTPriceDisclosureShortForm03282025.pdf" TargetMode="External"/><Relationship Id="rId81" Type="http://schemas.openxmlformats.org/officeDocument/2006/relationships/hyperlink" Target="https://cdn.pfizer.com/pfizercom/products/ctprescribers/SOLU-MEDROLCTPriceDisclosureShortForm07282025.pdf" TargetMode="External"/><Relationship Id="rId82" Type="http://schemas.openxmlformats.org/officeDocument/2006/relationships/hyperlink" Target="https://cdn.pfizer.com/pfizercom/products/ctprescribers/SOLU-MEDROLCTPriceDisclosureShortForm10032025.pdf" TargetMode="External"/><Relationship Id="rId83" Type="http://schemas.openxmlformats.org/officeDocument/2006/relationships/hyperlink" Target="https://cdn.pfizer.com/pfizercom/products/ctprescribers/SOLU-MEDROLCTPriceDisclosureShortForm01092026.pdf" TargetMode="External"/><Relationship Id="rId84" Type="http://schemas.openxmlformats.org/officeDocument/2006/relationships/hyperlink" Target="https://cdn.pfizer.com/pfizercom/products/ctprescribers/SOLU-MEDROLCTPriceDisclosureShortForm07062026.pdf" TargetMode="External"/><Relationship Id="rId85" Type="http://schemas.openxmlformats.org/officeDocument/2006/relationships/hyperlink" Target="https://cdn.pfizer.com/pfizercom/products/ctprescribers/SOLU-MEDROLCTPriceDisclosureShortForm07092024.pdf" TargetMode="External"/><Relationship Id="rId86" Type="http://schemas.openxmlformats.org/officeDocument/2006/relationships/hyperlink" Target="https://cdn.pfizer.com/pfizercom/products/ctprescribers/SOLU-MEDROLCTPriceDisclosureShortForm03282025.pdf" TargetMode="External"/><Relationship Id="rId87" Type="http://schemas.openxmlformats.org/officeDocument/2006/relationships/hyperlink" Target="https://cdn.pfizer.com/pfizercom/products/ctprescribers/SOLU-MEDROLCTPriceDisclosureShortForm07282025.pdf" TargetMode="External"/><Relationship Id="rId88" Type="http://schemas.openxmlformats.org/officeDocument/2006/relationships/hyperlink" Target="https://cdn.pfizer.com/pfizercom/products/ctprescribers/SOLU-MEDROLCTPriceDisclosureShortForm10032025.pdf" TargetMode="External"/><Relationship Id="rId89" Type="http://schemas.openxmlformats.org/officeDocument/2006/relationships/hyperlink" Target="https://cdn.pfizer.com/pfizercom/products/ctprescribers/SOLU-MEDROLCTPriceDisclosureShortForm01092026.pdf" TargetMode="External"/><Relationship Id="rId90" Type="http://schemas.openxmlformats.org/officeDocument/2006/relationships/hyperlink" Target="https://cdn.pfizer.com/pfizercom/products/ctprescribers/SOLU-MEDROLCTPriceDisclosureShortForm07062026.pdf" TargetMode="External"/><Relationship Id="rId91" Type="http://schemas.openxmlformats.org/officeDocument/2006/relationships/hyperlink" Target="https://cdn.pfizer.com/pfizercom/products/ctprescribers/SOLU-MEDROLCTPriceDisclosureShortForm07092024.pdf" TargetMode="External"/><Relationship Id="rId92" Type="http://schemas.openxmlformats.org/officeDocument/2006/relationships/hyperlink" Target="https://cdn.pfizer.com/pfizercom/products/ctprescribers/SOLU-MEDROLCTPriceDisclosureShortForm03282025.pdf" TargetMode="External"/><Relationship Id="rId93" Type="http://schemas.openxmlformats.org/officeDocument/2006/relationships/hyperlink" Target="https://cdn.pfizer.com/pfizercom/products/ctprescribers/SOLU-MEDROLCTPriceDisclosureShortForm07282025.pdf" TargetMode="External"/><Relationship Id="rId94" Type="http://schemas.openxmlformats.org/officeDocument/2006/relationships/hyperlink" Target="https://cdn.pfizer.com/pfizercom/products/ctprescribers/SOLU-MEDROLCTPriceDisclosureShortForm10032025.pdf" TargetMode="External"/><Relationship Id="rId95" Type="http://schemas.openxmlformats.org/officeDocument/2006/relationships/hyperlink" Target="https://cdn.pfizer.com/pfizercom/products/ctprescribers/SOLU-MEDROLCTPriceDisclosureShortForm01092026.pdf" TargetMode="External"/><Relationship Id="rId96" Type="http://schemas.openxmlformats.org/officeDocument/2006/relationships/hyperlink" Target="https://cdn.pfizer.com/pfizercom/products/ctprescribers/SOLU-MEDROLCTPriceDisclosureShortForm07062026.pdf" TargetMode="External"/><Relationship Id="rId97" Type="http://schemas.openxmlformats.org/officeDocument/2006/relationships/hyperlink" Target="https://cdn.pfizer.com/pfizercom/products/ctprescribers/SOLU-MEDROLCTPriceDisclosureShortForm07092024.pdf" TargetMode="External"/><Relationship Id="rId98" Type="http://schemas.openxmlformats.org/officeDocument/2006/relationships/hyperlink" Target="https://cdn.pfizer.com/pfizercom/products/ctprescribers/SOLU-MEDROLCTPriceDisclosureShortForm03282025.pdf" TargetMode="External"/><Relationship Id="rId99" Type="http://schemas.openxmlformats.org/officeDocument/2006/relationships/hyperlink" Target="https://cdn.pfizer.com/pfizercom/products/ctprescribers/SOLU-MEDROLCTPriceDisclosureShortForm07282025.pdf" TargetMode="External"/><Relationship Id="rId100" Type="http://schemas.openxmlformats.org/officeDocument/2006/relationships/hyperlink" Target="https://cdn.pfizer.com/pfizercom/products/ctprescribers/SOLU-MEDROLCTPriceDisclosureShortForm10032025.pdf" TargetMode="External"/><Relationship Id="rId101" Type="http://schemas.openxmlformats.org/officeDocument/2006/relationships/hyperlink" Target="https://cdn.pfizer.com/pfizercom/products/ctprescribers/SOLU-MEDROLCTPriceDisclosureShortForm01092026.pdf" TargetMode="External"/><Relationship Id="rId102" Type="http://schemas.openxmlformats.org/officeDocument/2006/relationships/hyperlink" Target="https://cdn.pfizer.com/pfizercom/products/ctprescribers/SOLU-MEDROLCTPriceDisclosureShortForm07062026.pdf" TargetMode="External"/><Relationship Id="rId103" Type="http://schemas.openxmlformats.org/officeDocument/2006/relationships/hyperlink" Target="https://cdn.pfizer.com/pfizercom/products/ctprescribers/SOLU-MEDROLCTPriceDisclosureShortForm07092024.pdf" TargetMode="External"/><Relationship Id="rId104" Type="http://schemas.openxmlformats.org/officeDocument/2006/relationships/hyperlink" Target="https://cdn.pfizer.com/pfizercom/products/ctprescribers/SOLU-MEDROLCTPriceDisclosureShortForm03282025.pdf" TargetMode="External"/><Relationship Id="rId105" Type="http://schemas.openxmlformats.org/officeDocument/2006/relationships/hyperlink" Target="https://cdn.pfizer.com/pfizercom/products/ctprescribers/SOLU-MEDROLCTPriceDisclosureShortForm07282025.pdf" TargetMode="External"/><Relationship Id="rId106" Type="http://schemas.openxmlformats.org/officeDocument/2006/relationships/hyperlink" Target="https://cdn.pfizer.com/pfizercom/products/ctprescribers/SOLU-MEDROLCTPriceDisclosureShortForm10032025.pdf" TargetMode="External"/><Relationship Id="rId107" Type="http://schemas.openxmlformats.org/officeDocument/2006/relationships/hyperlink" Target="https://cdn.pfizer.com/pfizercom/products/ctprescribers/SOLU-MEDROLCTPriceDisclosureShortForm01092026.pdf" TargetMode="External"/><Relationship Id="rId108" Type="http://schemas.openxmlformats.org/officeDocument/2006/relationships/hyperlink" Target="https://cdn.pfizer.com/pfizercom/products/ctprescribers/SOLU-MEDROLCTPriceDisclosureShortForm07062026.pdf" TargetMode="External"/><Relationship Id="rId109" Type="http://schemas.openxmlformats.org/officeDocument/2006/relationships/hyperlink" Target="https://cdn.pfizer.com/pfizercom/products/ctprescribers/SOLU-MEDROLCTPriceDisclosureShortForm07092024.pdf" TargetMode="External"/><Relationship Id="rId110" Type="http://schemas.openxmlformats.org/officeDocument/2006/relationships/hyperlink" Target="https://cdn.pfizer.com/pfizercom/products/ctprescribers/SOLU-MEDROLCTPriceDisclosureShortForm03282025.pdf" TargetMode="External"/><Relationship Id="rId111" Type="http://schemas.openxmlformats.org/officeDocument/2006/relationships/hyperlink" Target="https://cdn.pfizer.com/pfizercom/products/ctprescribers/SOLU-MEDROLCTPriceDisclosureShortForm07282025.pdf" TargetMode="External"/><Relationship Id="rId112" Type="http://schemas.openxmlformats.org/officeDocument/2006/relationships/hyperlink" Target="https://cdn.pfizer.com/pfizercom/products/ctprescribers/SOLU-MEDROLCTPriceDisclosureShortForm10032025.pdf" TargetMode="External"/><Relationship Id="rId113" Type="http://schemas.openxmlformats.org/officeDocument/2006/relationships/hyperlink" Target="https://cdn.pfizer.com/pfizercom/products/ctprescribers/SOLU-MEDROLCTPriceDisclosureShortForm01092026.pdf" TargetMode="External"/><Relationship Id="rId114" Type="http://schemas.openxmlformats.org/officeDocument/2006/relationships/hyperlink" Target="https://cdn.pfizer.com/pfizercom/products/ctprescribers/SOLU-MEDROLCTPriceDisclosureShortForm07062026.pdf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www.cms.gov/medicare/payment/part-b-drugs/asp-pricing-files" TargetMode="External"/><Relationship Id="rId2" Type="http://schemas.openxmlformats.org/officeDocument/2006/relationships/hyperlink" Target="https://www.cms.gov/files/zip/october-2026-medicare-part-b-payment-limit-files-final.zip" TargetMode="External"/><Relationship Id="rId3" Type="http://schemas.openxmlformats.org/officeDocument/2006/relationships/hyperlink" Target="https://www.cms.gov/files/zip/october-2026-ndc-hcpcs-crosswalk-final.zip" TargetMode="External"/><Relationship Id="rId4" Type="http://schemas.openxmlformats.org/officeDocument/2006/relationships/hyperlink" Target="https://www.cms.gov/files/zip/april-2024-asp-pricing-file.zip" TargetMode="External"/><Relationship Id="rId5" Type="http://schemas.openxmlformats.org/officeDocument/2006/relationships/hyperlink" Target="https://www.fda.gov/media/76860/download" TargetMode="External"/><Relationship Id="rId6" Type="http://schemas.openxmlformats.org/officeDocument/2006/relationships/hyperlink" Target="https://api.fda.gov/drug/ndc.json?search=active_ingredients.name:%22METHYLPREDNISOLONE+SODIUM+SUCCINATE%22&amp;limit=200" TargetMode="External"/><Relationship Id="rId7" Type="http://schemas.openxmlformats.org/officeDocument/2006/relationships/hyperlink" Target="https://api.fda.gov/drug/ndc.json?search=active_ingredients.name:%22HYDROCORTISONE+SODIUM+SUCCINATE%22&amp;limit=100" TargetMode="External"/><Relationship Id="rId8" Type="http://schemas.openxmlformats.org/officeDocument/2006/relationships/hyperlink" Target="https://www.fda.gov/drugs/generic-drugs/competitive-generic-therapy-approvals" TargetMode="External"/><Relationship Id="rId9" Type="http://schemas.openxmlformats.org/officeDocument/2006/relationships/hyperlink" Target="https://www.fda.gov/media/153631/download" TargetMode="External"/><Relationship Id="rId10" Type="http://schemas.openxmlformats.org/officeDocument/2006/relationships/hyperlink" Target="https://data.medicaid.gov/dataset/a1f3598e-fc71-51aa-8560-78e7e1a61b09" TargetMode="External"/><Relationship Id="rId11" Type="http://schemas.openxmlformats.org/officeDocument/2006/relationships/hyperlink" Target="https://data.medicaid.gov/dataset/daba7980-e219-5996-9bec-90358fd156f1" TargetMode="External"/><Relationship Id="rId12" Type="http://schemas.openxmlformats.org/officeDocument/2006/relationships/hyperlink" Target="https://data.medicaid.gov/dataset/cc318bfb-a9b2-55f3-a924-d47376b32ea3" TargetMode="External"/><Relationship Id="rId13" Type="http://schemas.openxmlformats.org/officeDocument/2006/relationships/hyperlink" Target="https://data.medicaid.gov/dataset/eec7fbe6-c4c4-5915-b3d0-be5828ef4e9d" TargetMode="External"/><Relationship Id="rId14" Type="http://schemas.openxmlformats.org/officeDocument/2006/relationships/hyperlink" Target="https://data.medicaid.gov/dataset/200c2cba-e58d-4a95-aa60-14b99736808d" TargetMode="External"/><Relationship Id="rId15" Type="http://schemas.openxmlformats.org/officeDocument/2006/relationships/hyperlink" Target="https://data.medicaid.gov/dataset/d890d3a9-6b00-43fd-8b31-fcba4c8e2909" TargetMode="External"/><Relationship Id="rId16" Type="http://schemas.openxmlformats.org/officeDocument/2006/relationships/hyperlink" Target="https://data.medicaid.gov/dataset/61729e5a-7aa8-448c-8903-ba3e0cd0ea3c" TargetMode="External"/><Relationship Id="rId17" Type="http://schemas.openxmlformats.org/officeDocument/2006/relationships/hyperlink" Target="https://data.medicaid.gov/dataset/158a1baa-5506-400a-8ec3-97756f0b0536" TargetMode="External"/><Relationship Id="rId18" Type="http://schemas.openxmlformats.org/officeDocument/2006/relationships/hyperlink" Target="https://data.medicaid.gov/dataset/2957a7f9-9a15-453e-9afd-3bbdcbac8fd3" TargetMode="External"/><Relationship Id="rId19" Type="http://schemas.openxmlformats.org/officeDocument/2006/relationships/hyperlink" Target="https://data.medicaid.gov/dataset/fbb83258-11c7-47f5-8b18-5f8e79f7e704" TargetMode="External"/><Relationship Id="rId20" Type="http://schemas.openxmlformats.org/officeDocument/2006/relationships/hyperlink" Target="https://data.cms.gov/sites/default/files/2026-06/ae1c5e06-957d-42dd-b783-e7fe598c01c9/DSD_MCD_RY26_P06_V20_D24_BGM.csv" TargetMode="External"/><Relationship Id="rId21" Type="http://schemas.openxmlformats.org/officeDocument/2006/relationships/hyperlink" Target="https://data.cms.gov/sites/default/files/2026-06/98218f98-166c-4723-8438-c344a4ef96a6/DSD_PTD_RY26_P04_V10_DY24_BGM.csv" TargetMode="External"/><Relationship Id="rId22" Type="http://schemas.openxmlformats.org/officeDocument/2006/relationships/hyperlink" Target="https://data.cms.gov/sites/default/files/2026-06/6616fc91-eb70-404c-9f27-1448e47a3a73/DSD_PTB_RY26_P06_V10_DYT24_HCPCS-%20260602.csv" TargetMode="External"/><Relationship Id="rId23" Type="http://schemas.openxmlformats.org/officeDocument/2006/relationships/hyperlink" Target="https://data.cms.gov/summary-statistics-on-use-and-payments/medicare-medicaid-spending-by-drug/medicare-part-b-spending-by-drug" TargetMode="External"/><Relationship Id="rId24" Type="http://schemas.openxmlformats.org/officeDocument/2006/relationships/hyperlink" Target="https://www.sebi.gov.in/sebi_data/attachdocs/aug-2026/1787119258529.pdf" TargetMode="External"/><Relationship Id="rId25" Type="http://schemas.openxmlformats.org/officeDocument/2006/relationships/hyperlink" Target="https://www.bseindia.com/xml-data/corpfiling/Attachhis/91eed093-577e-4264-babd-546a03192722.pdf" TargetMode="External"/><Relationship Id="rId26" Type="http://schemas.openxmlformats.org/officeDocument/2006/relationships/hyperlink" Target="https://www.bseindia.com/xml-data/corpfiling/AttachLive/47a96a6d-0348-40db-a957-9ae203f20580.pdf" TargetMode="External"/><Relationship Id="rId27" Type="http://schemas.openxmlformats.org/officeDocument/2006/relationships/hyperlink" Target="https://mailcontent.icicidirect.com/mailcontent/idirect_symbiotec_convictionidea.pdf" TargetMode="External"/><Relationship Id="rId28" Type="http://schemas.openxmlformats.org/officeDocument/2006/relationships/hyperlink" Target="https://www.sec.gov/Archives/edgar/data/1135951/000157587222000246/drr0379_ex99-2.htm" TargetMode="External"/><Relationship Id="rId29" Type="http://schemas.openxmlformats.org/officeDocument/2006/relationships/hyperlink" Target="https://hikma.com/media/3cpbifha/09032016-product-hikma-receives-fda-approval-for-methylprednisolone-sodium-succinate-injection.pdf" TargetMode="External"/><Relationship Id="rId30" Type="http://schemas.openxmlformats.org/officeDocument/2006/relationships/hyperlink" Target="https://biospectrumindia.com/news/95/6186/another-fda-approval-in-aurobindos-kitty.html" TargetMode="External"/><Relationship Id="rId31" Type="http://schemas.openxmlformats.org/officeDocument/2006/relationships/hyperlink" Target="https://bsmedia.business-standard.com/_media/bs/data/announcements/bse/27012026/a9ea92dd-a2a8-4632-8e08-e434fdcec6fc.pdf" TargetMode="External"/><Relationship Id="rId32" Type="http://schemas.openxmlformats.org/officeDocument/2006/relationships/hyperlink" Target="https://www.sec.gov/Archives/edgar/data/78003/000007800320000003/pfe-12312019xex99.htm" TargetMode="External"/><Relationship Id="rId33" Type="http://schemas.openxmlformats.org/officeDocument/2006/relationships/hyperlink" Target="https://www.sec.gov/Archives/edgar/data/78003/000007800322000003/pfe-12312021xex99.htm" TargetMode="External"/><Relationship Id="rId34" Type="http://schemas.openxmlformats.org/officeDocument/2006/relationships/hyperlink" Target="https://www.sec.gov/Archives/edgar/data/78003/000007800324000017/pfe-12312023xex99.htm" TargetMode="External"/><Relationship Id="rId35" Type="http://schemas.openxmlformats.org/officeDocument/2006/relationships/hyperlink" Target="https://www.sec.gov/Archives/edgar/data/78003/000007800325000054/pfe-20241231.htm" TargetMode="External"/><Relationship Id="rId36" Type="http://schemas.openxmlformats.org/officeDocument/2006/relationships/hyperlink" Target="https://cdn.pfizer.com/pfizercom/products/ctprescribers/SOLU-CORTEFCTPriceDisclosureShortForm07092024.pdf" TargetMode="External"/><Relationship Id="rId37" Type="http://schemas.openxmlformats.org/officeDocument/2006/relationships/hyperlink" Target="https://cdn.pfizer.com/pfizercom/products/ctprescribers/SOLU-CORTEFCTPriceDisclosureShortForm03282025.pdf" TargetMode="External"/><Relationship Id="rId38" Type="http://schemas.openxmlformats.org/officeDocument/2006/relationships/hyperlink" Target="https://cdn.pfizer.com/pfizercom/products/ctprescribers/SOLU-CORTEFCTPriceDisclosureShortForm07282025.pdf" TargetMode="External"/><Relationship Id="rId39" Type="http://schemas.openxmlformats.org/officeDocument/2006/relationships/hyperlink" Target="https://cdn.pfizer.com/pfizercom/products/ctprescribers/SOLU-CORTEFCTPriceDisclosureShortForm10032025.pdf" TargetMode="External"/><Relationship Id="rId40" Type="http://schemas.openxmlformats.org/officeDocument/2006/relationships/hyperlink" Target="https://cdn.pfizer.com/pfizercom/products/ctprescribers/SOLU-CORTEFCTPriceDisclosureShortForm01092026.pdf" TargetMode="External"/><Relationship Id="rId41" Type="http://schemas.openxmlformats.org/officeDocument/2006/relationships/hyperlink" Target="https://cdn.pfizer.com/pfizercom/products/ctprescribers/SOLU-CORTEFCTPriceDisclosureShortForm07062026.pdf" TargetMode="External"/><Relationship Id="rId42" Type="http://schemas.openxmlformats.org/officeDocument/2006/relationships/hyperlink" Target="https://cdn.pfizer.com/pfizercom/products/ctprescribers/SOLU-MEDROLCTPriceDisclosureShortForm07092024.pdf" TargetMode="External"/><Relationship Id="rId43" Type="http://schemas.openxmlformats.org/officeDocument/2006/relationships/hyperlink" Target="https://cdn.pfizer.com/pfizercom/products/ctprescribers/SOLU-MEDROLCTPriceDisclosureShortForm03282025.pdf" TargetMode="External"/><Relationship Id="rId44" Type="http://schemas.openxmlformats.org/officeDocument/2006/relationships/hyperlink" Target="https://cdn.pfizer.com/pfizercom/products/ctprescribers/SOLU-MEDROLCTPriceDisclosureShortForm07282025.pdf" TargetMode="External"/><Relationship Id="rId45" Type="http://schemas.openxmlformats.org/officeDocument/2006/relationships/hyperlink" Target="https://cdn.pfizer.com/pfizercom/products/ctprescribers/SOLU-MEDROLCTPriceDisclosureShortForm10032025.pdf" TargetMode="External"/><Relationship Id="rId46" Type="http://schemas.openxmlformats.org/officeDocument/2006/relationships/hyperlink" Target="https://cdn.pfizer.com/pfizercom/products/ctprescribers/SOLU-MEDROLCTPriceDisclosureShortForm01092026.pdf" TargetMode="External"/><Relationship Id="rId47" Type="http://schemas.openxmlformats.org/officeDocument/2006/relationships/hyperlink" Target="https://cdn.pfizer.com/pfizercom/products/ctprescribers/SOLU-MEDROLCTPriceDisclosureShortForm07062026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2"/>
      <c r="C4" s="2"/>
    </row>
    <row r="5" customFormat="false" ht="15" hidden="false" customHeight="false" outlineLevel="0" collapsed="false">
      <c r="A5" s="5" t="s">
        <v>3</v>
      </c>
      <c r="B5" s="6" t="s">
        <v>4</v>
      </c>
      <c r="C5" s="2"/>
    </row>
    <row r="6" customFormat="false" ht="15" hidden="false" customHeight="false" outlineLevel="0" collapsed="false">
      <c r="A6" s="7" t="s">
        <v>5</v>
      </c>
      <c r="B6" s="6" t="s">
        <v>6</v>
      </c>
      <c r="C6" s="2"/>
    </row>
    <row r="7" customFormat="false" ht="15" hidden="false" customHeight="false" outlineLevel="0" collapsed="false">
      <c r="A7" s="8" t="s">
        <v>7</v>
      </c>
      <c r="B7" s="6" t="s">
        <v>8</v>
      </c>
      <c r="C7" s="2"/>
    </row>
    <row r="8" customFormat="false" ht="15" hidden="false" customHeight="false" outlineLevel="0" collapsed="false">
      <c r="A8" s="9" t="s">
        <v>9</v>
      </c>
      <c r="B8" s="6" t="s">
        <v>10</v>
      </c>
      <c r="C8" s="2"/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4" t="s">
        <v>11</v>
      </c>
      <c r="B10" s="2"/>
      <c r="C10" s="2"/>
    </row>
    <row r="11" customFormat="false" ht="15" hidden="false" customHeight="false" outlineLevel="0" collapsed="false">
      <c r="A11" s="10" t="s">
        <v>12</v>
      </c>
      <c r="B11" s="10" t="s">
        <v>13</v>
      </c>
      <c r="C11" s="10" t="s">
        <v>14</v>
      </c>
    </row>
    <row r="12" customFormat="false" ht="15" hidden="false" customHeight="false" outlineLevel="0" collapsed="false">
      <c r="A12" s="11" t="s">
        <v>15</v>
      </c>
      <c r="B12" s="11" t="s">
        <v>16</v>
      </c>
      <c r="C12" s="11" t="s">
        <v>17</v>
      </c>
    </row>
    <row r="13" customFormat="false" ht="15" hidden="false" customHeight="false" outlineLevel="0" collapsed="false">
      <c r="A13" s="11" t="s">
        <v>18</v>
      </c>
      <c r="B13" s="11" t="s">
        <v>19</v>
      </c>
      <c r="C13" s="11" t="s">
        <v>17</v>
      </c>
    </row>
    <row r="14" customFormat="false" ht="15" hidden="false" customHeight="false" outlineLevel="0" collapsed="false">
      <c r="A14" s="11" t="s">
        <v>20</v>
      </c>
      <c r="B14" s="11" t="s">
        <v>21</v>
      </c>
      <c r="C14" s="11" t="s">
        <v>22</v>
      </c>
    </row>
    <row r="15" customFormat="false" ht="23.85" hidden="false" customHeight="false" outlineLevel="0" collapsed="false">
      <c r="A15" s="11" t="s">
        <v>23</v>
      </c>
      <c r="B15" s="11" t="s">
        <v>24</v>
      </c>
      <c r="C15" s="11" t="s">
        <v>22</v>
      </c>
    </row>
    <row r="16" customFormat="false" ht="15" hidden="false" customHeight="false" outlineLevel="0" collapsed="false">
      <c r="A16" s="11" t="s">
        <v>25</v>
      </c>
      <c r="B16" s="11" t="s">
        <v>26</v>
      </c>
      <c r="C16" s="11" t="s">
        <v>22</v>
      </c>
    </row>
    <row r="17" customFormat="false" ht="23.85" hidden="false" customHeight="false" outlineLevel="0" collapsed="false">
      <c r="A17" s="11" t="s">
        <v>27</v>
      </c>
      <c r="B17" s="11" t="s">
        <v>28</v>
      </c>
      <c r="C17" s="11" t="s">
        <v>29</v>
      </c>
    </row>
    <row r="18" customFormat="false" ht="15" hidden="false" customHeight="false" outlineLevel="0" collapsed="false">
      <c r="A18" s="11" t="s">
        <v>30</v>
      </c>
      <c r="B18" s="11" t="s">
        <v>31</v>
      </c>
      <c r="C18" s="11" t="s">
        <v>29</v>
      </c>
    </row>
    <row r="19" customFormat="false" ht="23.85" hidden="false" customHeight="false" outlineLevel="0" collapsed="false">
      <c r="A19" s="11" t="s">
        <v>32</v>
      </c>
      <c r="B19" s="11" t="s">
        <v>33</v>
      </c>
      <c r="C19" s="11" t="s">
        <v>34</v>
      </c>
    </row>
    <row r="20" customFormat="false" ht="23.85" hidden="false" customHeight="false" outlineLevel="0" collapsed="false">
      <c r="A20" s="11" t="s">
        <v>35</v>
      </c>
      <c r="B20" s="11" t="s">
        <v>36</v>
      </c>
      <c r="C20" s="11" t="s">
        <v>34</v>
      </c>
    </row>
    <row r="21" customFormat="false" ht="23.85" hidden="false" customHeight="false" outlineLevel="0" collapsed="false">
      <c r="A21" s="11" t="s">
        <v>37</v>
      </c>
      <c r="B21" s="11" t="s">
        <v>38</v>
      </c>
      <c r="C21" s="11" t="s">
        <v>39</v>
      </c>
    </row>
    <row r="22" customFormat="false" ht="23.85" hidden="false" customHeight="false" outlineLevel="0" collapsed="false">
      <c r="A22" s="11" t="s">
        <v>40</v>
      </c>
      <c r="B22" s="11" t="s">
        <v>41</v>
      </c>
      <c r="C22" s="11" t="s">
        <v>42</v>
      </c>
    </row>
    <row r="23" customFormat="false" ht="23.85" hidden="false" customHeight="false" outlineLevel="0" collapsed="false">
      <c r="A23" s="11" t="s">
        <v>43</v>
      </c>
      <c r="B23" s="11" t="s">
        <v>44</v>
      </c>
      <c r="C23" s="11" t="s">
        <v>43</v>
      </c>
    </row>
    <row r="24" customFormat="false" ht="15" hidden="false" customHeight="false" outlineLevel="0" collapsed="false">
      <c r="A24" s="11" t="s">
        <v>45</v>
      </c>
      <c r="B24" s="11" t="s">
        <v>46</v>
      </c>
      <c r="C24" s="11" t="s">
        <v>17</v>
      </c>
    </row>
    <row r="25" customFormat="false" ht="15" hidden="false" customHeight="false" outlineLevel="0" collapsed="false">
      <c r="A25" s="2"/>
      <c r="B25" s="2"/>
      <c r="C25" s="2"/>
    </row>
    <row r="26" customFormat="false" ht="15" hidden="false" customHeight="false" outlineLevel="0" collapsed="false">
      <c r="A26" s="4" t="s">
        <v>47</v>
      </c>
      <c r="B26" s="2"/>
      <c r="C26" s="2"/>
    </row>
    <row r="27" customFormat="false" ht="30" hidden="false" customHeight="true" outlineLevel="0" collapsed="false">
      <c r="A27" s="12" t="s">
        <v>48</v>
      </c>
      <c r="B27" s="12"/>
      <c r="C27" s="12"/>
    </row>
    <row r="28" customFormat="false" ht="30" hidden="false" customHeight="true" outlineLevel="0" collapsed="false">
      <c r="A28" s="12" t="s">
        <v>49</v>
      </c>
      <c r="B28" s="12"/>
      <c r="C28" s="12"/>
    </row>
    <row r="29" customFormat="false" ht="30" hidden="false" customHeight="true" outlineLevel="0" collapsed="false">
      <c r="A29" s="12" t="s">
        <v>50</v>
      </c>
      <c r="B29" s="12"/>
      <c r="C29" s="12"/>
    </row>
    <row r="30" customFormat="false" ht="30" hidden="false" customHeight="true" outlineLevel="0" collapsed="false">
      <c r="A30" s="12" t="s">
        <v>51</v>
      </c>
      <c r="B30" s="12"/>
      <c r="C30" s="12"/>
    </row>
    <row r="31" customFormat="false" ht="30" hidden="false" customHeight="true" outlineLevel="0" collapsed="false">
      <c r="A31" s="12" t="s">
        <v>52</v>
      </c>
      <c r="B31" s="12"/>
      <c r="C31" s="12"/>
    </row>
  </sheetData>
  <mergeCells count="5">
    <mergeCell ref="A27:C27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  <col collapsed="false" customWidth="true" hidden="false" outlineLevel="0" max="4" min="3" style="0" width="14"/>
    <col collapsed="false" customWidth="true" hidden="false" outlineLevel="0" max="5" min="5" style="0" width="8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53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54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23.85" hidden="false" customHeight="false" outlineLevel="0" collapsed="false">
      <c r="A4" s="10" t="s">
        <v>14</v>
      </c>
      <c r="B4" s="10" t="s">
        <v>55</v>
      </c>
      <c r="C4" s="10" t="s">
        <v>56</v>
      </c>
      <c r="D4" s="10" t="s">
        <v>57</v>
      </c>
      <c r="E4" s="10" t="s">
        <v>58</v>
      </c>
      <c r="F4" s="10" t="s">
        <v>59</v>
      </c>
    </row>
    <row r="5" customFormat="false" ht="15" hidden="false" customHeight="false" outlineLevel="0" collapsed="false">
      <c r="A5" s="6" t="s">
        <v>60</v>
      </c>
      <c r="B5" s="6" t="s">
        <v>61</v>
      </c>
      <c r="C5" s="13" t="n">
        <f aca="false">ASP_growth!$S$7</f>
        <v>6.57075471698113</v>
      </c>
      <c r="D5" s="14" t="n">
        <v>6.57</v>
      </c>
      <c r="E5" s="7" t="str">
        <f aca="false">IF(ABS(C5-D5)&lt;=MAX(0.0051,ABS(D5)*0.02),"OK","Check")</f>
        <v>OK</v>
      </c>
      <c r="F5" s="6" t="s">
        <v>25</v>
      </c>
    </row>
    <row r="6" customFormat="false" ht="15" hidden="false" customHeight="false" outlineLevel="0" collapsed="false">
      <c r="A6" s="6" t="s">
        <v>60</v>
      </c>
      <c r="B6" s="6" t="s">
        <v>62</v>
      </c>
      <c r="C6" s="13" t="n">
        <f aca="false">ASP_growth!$U$7</f>
        <v>7.16981132075472</v>
      </c>
      <c r="D6" s="14" t="n">
        <v>7.17</v>
      </c>
      <c r="E6" s="7" t="str">
        <f aca="false">IF(ABS(C6-D6)&lt;=MAX(0.0051,ABS(D6)*0.02),"OK","Check")</f>
        <v>OK</v>
      </c>
      <c r="F6" s="6" t="s">
        <v>25</v>
      </c>
    </row>
    <row r="7" customFormat="false" ht="15" hidden="false" customHeight="false" outlineLevel="0" collapsed="false">
      <c r="A7" s="6" t="s">
        <v>60</v>
      </c>
      <c r="B7" s="6" t="s">
        <v>63</v>
      </c>
      <c r="C7" s="13" t="n">
        <f aca="false">INDEX(ASP_per_vial!$E$6:$P$49,MATCH("2026-Q4",ASP_per_vial!$A$6:$A$49,0),MATCH("MPSS 125 mg",ASP_per_vial!$E$5:$P$5,0))</f>
        <v>6.01415094339623</v>
      </c>
      <c r="D7" s="14" t="n">
        <v>6.01</v>
      </c>
      <c r="E7" s="7" t="str">
        <f aca="false">IF(ABS(C7-D7)&lt;=MAX(0.0051,ABS(D7)*0.02),"OK","Check")</f>
        <v>OK</v>
      </c>
      <c r="F7" s="6" t="s">
        <v>23</v>
      </c>
    </row>
    <row r="8" customFormat="false" ht="15" hidden="false" customHeight="false" outlineLevel="0" collapsed="false">
      <c r="A8" s="6" t="s">
        <v>60</v>
      </c>
      <c r="B8" s="6" t="s">
        <v>64</v>
      </c>
      <c r="C8" s="13" t="n">
        <f aca="false">INDEX(ASP_per_vial!$E$6:$P$49,MATCH("2026-Q4",ASP_per_vial!$A$6:$A$49,0),MATCH("HSS 100 mg",ASP_per_vial!$E$5:$P$5,0))</f>
        <v>21.838679245283</v>
      </c>
      <c r="D8" s="14" t="n">
        <v>21.84</v>
      </c>
      <c r="E8" s="7" t="str">
        <f aca="false">IF(ABS(C8-D8)&lt;=MAX(0.0051,ABS(D8)*0.02),"OK","Check")</f>
        <v>OK</v>
      </c>
      <c r="F8" s="6" t="s">
        <v>23</v>
      </c>
    </row>
    <row r="9" customFormat="false" ht="15" hidden="false" customHeight="false" outlineLevel="0" collapsed="false">
      <c r="A9" s="6" t="s">
        <v>60</v>
      </c>
      <c r="B9" s="6" t="s">
        <v>65</v>
      </c>
      <c r="C9" s="13" t="n">
        <f aca="false">INDEX(ASP_per_vial!$E$6:$P$49,MATCH("2026-Q4",ASP_per_vial!$A$6:$A$49,0),MATCH("HSS 250 mg (2.5 units)",ASP_per_vial!$E$5:$P$5,0))</f>
        <v>54.5966981132075</v>
      </c>
      <c r="D9" s="14" t="n">
        <v>54.6</v>
      </c>
      <c r="E9" s="7" t="str">
        <f aca="false">IF(ABS(C9-D9)&lt;=MAX(0.0051,ABS(D9)*0.02),"OK","Check")</f>
        <v>OK</v>
      </c>
      <c r="F9" s="6" t="s">
        <v>23</v>
      </c>
    </row>
    <row r="10" customFormat="false" ht="15" hidden="false" customHeight="false" outlineLevel="0" collapsed="false">
      <c r="A10" s="6" t="s">
        <v>60</v>
      </c>
      <c r="B10" s="6" t="s">
        <v>66</v>
      </c>
      <c r="C10" s="13" t="n">
        <f aca="false">INDEX(ASP_per_vial!$E$6:$P$49,MATCH("2026-Q4",ASP_per_vial!$A$6:$A$49,0),MATCH("HSS 250 mg (3 units)",ASP_per_vial!$E$5:$P$5,0))</f>
        <v>65.5160377358491</v>
      </c>
      <c r="D10" s="14" t="n">
        <v>65.52</v>
      </c>
      <c r="E10" s="7" t="str">
        <f aca="false">IF(ABS(C10-D10)&lt;=MAX(0.0051,ABS(D10)*0.02),"OK","Check")</f>
        <v>OK</v>
      </c>
      <c r="F10" s="6" t="s">
        <v>23</v>
      </c>
    </row>
    <row r="11" customFormat="false" ht="15" hidden="false" customHeight="false" outlineLevel="0" collapsed="false">
      <c r="A11" s="6" t="s">
        <v>60</v>
      </c>
      <c r="B11" s="6" t="s">
        <v>67</v>
      </c>
      <c r="C11" s="13" t="n">
        <f aca="false">INDEX(ASP_per_vial!$E$6:$P$49,MATCH("2026-Q4",ASP_per_vial!$A$6:$A$49,0),MATCH("HSS 500 mg",ASP_per_vial!$E$5:$P$5,0))</f>
        <v>109.193396226415</v>
      </c>
      <c r="D11" s="14" t="n">
        <v>109.19</v>
      </c>
      <c r="E11" s="7" t="str">
        <f aca="false">IF(ABS(C11-D11)&lt;=MAX(0.0051,ABS(D11)*0.02),"OK","Check")</f>
        <v>OK</v>
      </c>
      <c r="F11" s="6" t="s">
        <v>23</v>
      </c>
    </row>
    <row r="12" customFormat="false" ht="15" hidden="false" customHeight="false" outlineLevel="0" collapsed="false">
      <c r="A12" s="6" t="s">
        <v>60</v>
      </c>
      <c r="B12" s="6" t="s">
        <v>68</v>
      </c>
      <c r="C12" s="13" t="n">
        <f aca="false">INDEX(ASP_per_vial!$E$6:$P$49,MATCH("2026-Q4",ASP_per_vial!$A$6:$A$49,0),MATCH("HSS 1 g",ASP_per_vial!$E$5:$P$5,0))</f>
        <v>218.38679245283</v>
      </c>
      <c r="D12" s="14" t="n">
        <v>218.39</v>
      </c>
      <c r="E12" s="7" t="str">
        <f aca="false">IF(ABS(C12-D12)&lt;=MAX(0.0051,ABS(D12)*0.02),"OK","Check")</f>
        <v>OK</v>
      </c>
      <c r="F12" s="6" t="s">
        <v>23</v>
      </c>
    </row>
    <row r="13" customFormat="false" ht="15" hidden="false" customHeight="false" outlineLevel="0" collapsed="false">
      <c r="A13" s="6" t="s">
        <v>60</v>
      </c>
      <c r="B13" s="6" t="s">
        <v>69</v>
      </c>
      <c r="C13" s="15" t="n">
        <f aca="false">ASP_growth!$B$77</f>
        <v>0.11050728434684</v>
      </c>
      <c r="D13" s="16" t="n">
        <v>0.11</v>
      </c>
      <c r="E13" s="7" t="str">
        <f aca="false">IF(ABS(C13-D13)&lt;=MAX(0.006,ABS(D13)*0.02),"OK","Check")</f>
        <v>OK</v>
      </c>
      <c r="F13" s="6" t="s">
        <v>25</v>
      </c>
    </row>
    <row r="14" customFormat="false" ht="15" hidden="false" customHeight="false" outlineLevel="0" collapsed="false">
      <c r="A14" s="6" t="s">
        <v>22</v>
      </c>
      <c r="B14" s="6" t="s">
        <v>70</v>
      </c>
      <c r="C14" s="15" t="n">
        <f aca="false">ASP_growth!$L$11</f>
        <v>0.0861955705705706</v>
      </c>
      <c r="D14" s="16" t="n">
        <v>0.086</v>
      </c>
      <c r="E14" s="7" t="str">
        <f aca="false">IF(ABS(C14-D14)&lt;=MAX(0.006,ABS(D14)*0.02),"OK","Check")</f>
        <v>OK</v>
      </c>
      <c r="F14" s="6" t="s">
        <v>25</v>
      </c>
    </row>
    <row r="15" customFormat="false" ht="15" hidden="false" customHeight="false" outlineLevel="0" collapsed="false">
      <c r="A15" s="6" t="s">
        <v>22</v>
      </c>
      <c r="B15" s="6" t="s">
        <v>71</v>
      </c>
      <c r="C15" s="15" t="n">
        <f aca="false">ASP_growth!$N$11</f>
        <v>0.0934264382322367</v>
      </c>
      <c r="D15" s="16" t="n">
        <v>0.093</v>
      </c>
      <c r="E15" s="7" t="str">
        <f aca="false">IF(ABS(C15-D15)&lt;=MAX(0.006,ABS(D15)*0.02),"OK","Check")</f>
        <v>OK</v>
      </c>
      <c r="F15" s="6" t="s">
        <v>25</v>
      </c>
    </row>
    <row r="16" customFormat="false" ht="15" hidden="false" customHeight="false" outlineLevel="0" collapsed="false">
      <c r="A16" s="6" t="s">
        <v>22</v>
      </c>
      <c r="B16" s="6" t="s">
        <v>72</v>
      </c>
      <c r="C16" s="15" t="n">
        <f aca="false">ASP_growth!$L$7</f>
        <v>0.214285714285714</v>
      </c>
      <c r="D16" s="16" t="n">
        <v>0.214</v>
      </c>
      <c r="E16" s="7" t="str">
        <f aca="false">IF(ABS(C16-D16)&lt;=MAX(0.006,ABS(D16)*0.02),"OK","Check")</f>
        <v>OK</v>
      </c>
      <c r="F16" s="6" t="s">
        <v>25</v>
      </c>
    </row>
    <row r="17" customFormat="false" ht="15" hidden="false" customHeight="false" outlineLevel="0" collapsed="false">
      <c r="A17" s="6" t="s">
        <v>22</v>
      </c>
      <c r="B17" s="6" t="s">
        <v>73</v>
      </c>
      <c r="C17" s="15" t="n">
        <f aca="false">ASP_growth!$N$7</f>
        <v>0.0275500958278831</v>
      </c>
      <c r="D17" s="16" t="n">
        <v>0.027</v>
      </c>
      <c r="E17" s="7" t="str">
        <f aca="false">IF(ABS(C17-D17)&lt;=MAX(0.006,ABS(D17)*0.02),"OK","Check")</f>
        <v>OK</v>
      </c>
      <c r="F17" s="6" t="s">
        <v>25</v>
      </c>
    </row>
    <row r="18" customFormat="false" ht="15" hidden="false" customHeight="false" outlineLevel="0" collapsed="false">
      <c r="A18" s="6" t="s">
        <v>22</v>
      </c>
      <c r="B18" s="6" t="s">
        <v>74</v>
      </c>
      <c r="C18" s="13" t="n">
        <f aca="false">INDEX(ASP_per_vial!$E$6:$P$49,MATCH("2024-Q1",ASP_per_vial!$A$6:$A$49,0),MATCH("MPSS 40 mg",ASP_per_vial!$E$5:$P$5,0))</f>
        <v>3.95094339622641</v>
      </c>
      <c r="D18" s="14" t="n">
        <v>3.95</v>
      </c>
      <c r="E18" s="7" t="str">
        <f aca="false">IF(ABS(C18-D18)&lt;=MAX(0.0051,ABS(D18)*0.02),"OK","Check")</f>
        <v>OK</v>
      </c>
      <c r="F18" s="6" t="s">
        <v>23</v>
      </c>
    </row>
    <row r="19" customFormat="false" ht="15" hidden="false" customHeight="false" outlineLevel="0" collapsed="false">
      <c r="A19" s="6" t="s">
        <v>22</v>
      </c>
      <c r="B19" s="6" t="s">
        <v>75</v>
      </c>
      <c r="C19" s="13" t="n">
        <f aca="false">INDEX(ASP_per_vial!$E$6:$P$49,MATCH("2024-Q2",ASP_per_vial!$A$6:$A$49,0),MATCH("MPSS 40 mg",ASP_per_vial!$E$5:$P$5,0))</f>
        <v>2.06037735849057</v>
      </c>
      <c r="D19" s="14" t="n">
        <v>2.06</v>
      </c>
      <c r="E19" s="7" t="str">
        <f aca="false">IF(ABS(C19-D19)&lt;=MAX(0.0051,ABS(D19)*0.02),"OK","Check")</f>
        <v>OK</v>
      </c>
      <c r="F19" s="6" t="s">
        <v>23</v>
      </c>
    </row>
    <row r="20" customFormat="false" ht="15" hidden="false" customHeight="false" outlineLevel="0" collapsed="false">
      <c r="A20" s="6" t="s">
        <v>22</v>
      </c>
      <c r="B20" s="6" t="s">
        <v>76</v>
      </c>
      <c r="C20" s="15" t="n">
        <f aca="false">ASP_growth!$P$7</f>
        <v>0.696711327649208</v>
      </c>
      <c r="D20" s="16" t="n">
        <v>0.7</v>
      </c>
      <c r="E20" s="7" t="str">
        <f aca="false">IF(ABS(C20-D20)&lt;=MAX(0.006,ABS(D20)*0.02),"OK","Check")</f>
        <v>OK</v>
      </c>
      <c r="F20" s="6" t="s">
        <v>25</v>
      </c>
    </row>
    <row r="21" customFormat="false" ht="15" hidden="false" customHeight="false" outlineLevel="0" collapsed="false">
      <c r="A21" s="6" t="s">
        <v>22</v>
      </c>
      <c r="B21" s="6" t="s">
        <v>77</v>
      </c>
      <c r="C21" s="15" t="n">
        <f aca="false">ASP_growth!$P$6</f>
        <v>0.658040027605245</v>
      </c>
      <c r="D21" s="16" t="n">
        <v>0.66</v>
      </c>
      <c r="E21" s="7" t="str">
        <f aca="false">IF(ABS(C21-D21)&lt;=MAX(0.006,ABS(D21)*0.02),"OK","Check")</f>
        <v>OK</v>
      </c>
      <c r="F21" s="6" t="s">
        <v>25</v>
      </c>
    </row>
    <row r="22" customFormat="false" ht="15" hidden="false" customHeight="false" outlineLevel="0" collapsed="false">
      <c r="A22" s="6" t="s">
        <v>22</v>
      </c>
      <c r="B22" s="6" t="s">
        <v>78</v>
      </c>
      <c r="C22" s="15" t="n">
        <f aca="false">ASP_growth!$Q$7</f>
        <v>-0.0659340659340659</v>
      </c>
      <c r="D22" s="16" t="n">
        <v>-0.066</v>
      </c>
      <c r="E22" s="7" t="str">
        <f aca="false">IF(ABS(C22-D22)&lt;=MAX(0.006,ABS(D22)*0.02),"OK","Check")</f>
        <v>OK</v>
      </c>
      <c r="F22" s="6" t="s">
        <v>25</v>
      </c>
    </row>
    <row r="23" customFormat="false" ht="15" hidden="false" customHeight="false" outlineLevel="0" collapsed="false">
      <c r="A23" s="6" t="s">
        <v>22</v>
      </c>
      <c r="B23" s="6" t="s">
        <v>79</v>
      </c>
      <c r="C23" s="15" t="n">
        <f aca="false">ASP_growth!$B$73</f>
        <v>-0.189189189189189</v>
      </c>
      <c r="D23" s="16" t="n">
        <v>-0.189</v>
      </c>
      <c r="E23" s="7" t="str">
        <f aca="false">IF(ABS(C23-D23)&lt;=MAX(0.006,ABS(D23)*0.02),"OK","Check")</f>
        <v>OK</v>
      </c>
      <c r="F23" s="6" t="s">
        <v>25</v>
      </c>
    </row>
    <row r="24" customFormat="false" ht="15" hidden="false" customHeight="false" outlineLevel="0" collapsed="false">
      <c r="A24" s="6" t="s">
        <v>22</v>
      </c>
      <c r="B24" s="6" t="s">
        <v>80</v>
      </c>
      <c r="C24" s="15" t="n">
        <f aca="false">ASP_growth!$B$74</f>
        <v>0.257142857142857</v>
      </c>
      <c r="D24" s="16" t="n">
        <v>0.257</v>
      </c>
      <c r="E24" s="7" t="str">
        <f aca="false">IF(ABS(C24-D24)&lt;=MAX(0.006,ABS(D24)*0.02),"OK","Check")</f>
        <v>OK</v>
      </c>
      <c r="F24" s="6" t="s">
        <v>25</v>
      </c>
    </row>
    <row r="25" customFormat="false" ht="15" hidden="false" customHeight="false" outlineLevel="0" collapsed="false">
      <c r="A25" s="6" t="s">
        <v>22</v>
      </c>
      <c r="B25" s="6" t="s">
        <v>81</v>
      </c>
      <c r="C25" s="17" t="n">
        <f aca="false">ASP_growth!$B$75</f>
        <v>0.233018867924528</v>
      </c>
      <c r="D25" s="18" t="n">
        <v>0.233</v>
      </c>
      <c r="E25" s="7" t="str">
        <f aca="false">IF(ABS(C25-D25)&lt;=MAX(0.0011,ABS(D25)*0.02),"OK","Check")</f>
        <v>OK</v>
      </c>
      <c r="F25" s="6" t="s">
        <v>25</v>
      </c>
    </row>
    <row r="26" customFormat="false" ht="15" hidden="false" customHeight="false" outlineLevel="0" collapsed="false">
      <c r="A26" s="6" t="s">
        <v>22</v>
      </c>
      <c r="B26" s="6" t="s">
        <v>82</v>
      </c>
      <c r="C26" s="17" t="n">
        <f aca="false">ASP_growth!$B$76</f>
        <v>0.232075471698113</v>
      </c>
      <c r="D26" s="18" t="n">
        <v>0.232</v>
      </c>
      <c r="E26" s="7" t="str">
        <f aca="false">IF(ABS(C26-D26)&lt;=MAX(0.0011,ABS(D26)*0.02),"OK","Check")</f>
        <v>OK</v>
      </c>
      <c r="F26" s="6" t="s">
        <v>25</v>
      </c>
    </row>
    <row r="27" customFormat="false" ht="15" hidden="false" customHeight="false" outlineLevel="0" collapsed="false">
      <c r="A27" s="6" t="s">
        <v>22</v>
      </c>
      <c r="B27" s="6" t="s">
        <v>83</v>
      </c>
      <c r="C27" s="15" t="n">
        <f aca="false">ASP_growth!$B$71</f>
        <v>0.201239760903254</v>
      </c>
      <c r="D27" s="16" t="n">
        <v>0.201</v>
      </c>
      <c r="E27" s="7" t="str">
        <f aca="false">IF(ABS(C27-D27)&lt;=MAX(0.006,ABS(D27)*0.02),"OK","Check")</f>
        <v>OK</v>
      </c>
      <c r="F27" s="6" t="s">
        <v>25</v>
      </c>
    </row>
    <row r="28" customFormat="false" ht="15" hidden="false" customHeight="false" outlineLevel="0" collapsed="false">
      <c r="A28" s="6" t="s">
        <v>22</v>
      </c>
      <c r="B28" s="6" t="s">
        <v>84</v>
      </c>
      <c r="C28" s="15" t="n">
        <f aca="false">ASP_growth!$B$72</f>
        <v>0.192023333107237</v>
      </c>
      <c r="D28" s="16" t="n">
        <v>0.192</v>
      </c>
      <c r="E28" s="7" t="str">
        <f aca="false">IF(ABS(C28-D28)&lt;=MAX(0.006,ABS(D28)*0.02),"OK","Check")</f>
        <v>OK</v>
      </c>
      <c r="F28" s="6" t="s">
        <v>25</v>
      </c>
    </row>
    <row r="29" customFormat="false" ht="15" hidden="false" customHeight="false" outlineLevel="0" collapsed="false">
      <c r="A29" s="6" t="s">
        <v>22</v>
      </c>
      <c r="B29" s="6" t="s">
        <v>85</v>
      </c>
      <c r="C29" s="15" t="n">
        <f aca="false">ASP_growth!$B$69</f>
        <v>-0.0229688208331236</v>
      </c>
      <c r="D29" s="2"/>
      <c r="E29" s="2"/>
      <c r="F29" s="6" t="s">
        <v>25</v>
      </c>
    </row>
    <row r="30" customFormat="false" ht="15" hidden="false" customHeight="false" outlineLevel="0" collapsed="false">
      <c r="A30" s="6" t="s">
        <v>22</v>
      </c>
      <c r="B30" s="6" t="s">
        <v>86</v>
      </c>
      <c r="C30" s="15" t="n">
        <f aca="false">ASP_growth!$Q$16</f>
        <v>-0.0820895522388061</v>
      </c>
      <c r="D30" s="16" t="n">
        <v>-0.082</v>
      </c>
      <c r="E30" s="7" t="str">
        <f aca="false">IF(ABS(C30-D30)&lt;=MAX(0.006,ABS(D30)*0.02),"OK","Check")</f>
        <v>OK</v>
      </c>
      <c r="F30" s="6" t="s">
        <v>25</v>
      </c>
    </row>
    <row r="31" customFormat="false" ht="15" hidden="false" customHeight="false" outlineLevel="0" collapsed="false">
      <c r="A31" s="6" t="s">
        <v>22</v>
      </c>
      <c r="B31" s="6" t="s">
        <v>87</v>
      </c>
      <c r="C31" s="13" t="n">
        <f aca="false">INDEX(ASP_per_vial!$E$6:$P$49,MATCH("2026-Q4",ASP_per_vial!$A$6:$A$49,0),MATCH("MPA 40 mg/mL 1 mL",ASP_per_vial!$E$5:$P$5,0))</f>
        <v>4.64150943396226</v>
      </c>
      <c r="D31" s="14" t="n">
        <v>4.64</v>
      </c>
      <c r="E31" s="7" t="str">
        <f aca="false">IF(ABS(C31-D31)&lt;=MAX(0.0051,ABS(D31)*0.02),"OK","Check")</f>
        <v>OK</v>
      </c>
      <c r="F31" s="6" t="s">
        <v>23</v>
      </c>
    </row>
    <row r="32" customFormat="false" ht="15" hidden="false" customHeight="false" outlineLevel="0" collapsed="false">
      <c r="A32" s="6" t="s">
        <v>22</v>
      </c>
      <c r="B32" s="6" t="s">
        <v>88</v>
      </c>
      <c r="C32" s="13" t="n">
        <f aca="false">INDEX(ASP_per_vial!$E$6:$P$49,MATCH("2026-Q4",ASP_per_vial!$A$6:$A$49,0),MATCH("MPA 80 mg/mL 1 mL",ASP_per_vial!$E$5:$P$5,0))</f>
        <v>9.28301886792453</v>
      </c>
      <c r="D32" s="14" t="n">
        <v>9.28</v>
      </c>
      <c r="E32" s="7" t="str">
        <f aca="false">IF(ABS(C32-D32)&lt;=MAX(0.0051,ABS(D32)*0.02),"OK","Check")</f>
        <v>OK</v>
      </c>
      <c r="F32" s="6" t="s">
        <v>23</v>
      </c>
    </row>
    <row r="33" customFormat="false" ht="15" hidden="false" customHeight="false" outlineLevel="0" collapsed="false">
      <c r="A33" s="6" t="s">
        <v>29</v>
      </c>
      <c r="B33" s="6" t="s">
        <v>89</v>
      </c>
      <c r="C33" s="15" t="n">
        <f aca="false">Pfizer_WAC!$K$29</f>
        <v>0.179738562091503</v>
      </c>
      <c r="D33" s="16" t="n">
        <v>0.18</v>
      </c>
      <c r="E33" s="7" t="str">
        <f aca="false">IF(ABS(C33-D33)&lt;=MAX(0.006,ABS(D33)*0.02),"OK","Check")</f>
        <v>OK</v>
      </c>
      <c r="F33" s="6" t="s">
        <v>27</v>
      </c>
    </row>
    <row r="34" customFormat="false" ht="15" hidden="false" customHeight="false" outlineLevel="0" collapsed="false">
      <c r="A34" s="6" t="s">
        <v>29</v>
      </c>
      <c r="B34" s="6" t="s">
        <v>90</v>
      </c>
      <c r="C34" s="15" t="n">
        <f aca="false">Pfizer_WAC!$K$30</f>
        <v>0.291876892028254</v>
      </c>
      <c r="D34" s="16" t="n">
        <v>0.292</v>
      </c>
      <c r="E34" s="7" t="str">
        <f aca="false">IF(ABS(C34-D34)&lt;=MAX(0.006,ABS(D34)*0.02),"OK","Check")</f>
        <v>OK</v>
      </c>
      <c r="F34" s="6" t="s">
        <v>27</v>
      </c>
    </row>
    <row r="35" customFormat="false" ht="15" hidden="false" customHeight="false" outlineLevel="0" collapsed="false">
      <c r="A35" s="6" t="s">
        <v>29</v>
      </c>
      <c r="B35" s="6" t="s">
        <v>91</v>
      </c>
      <c r="C35" s="15" t="n">
        <f aca="false">Pfizer_WAC!$K$31</f>
        <v>0.157554829678022</v>
      </c>
      <c r="D35" s="2"/>
      <c r="E35" s="2"/>
      <c r="F35" s="6" t="s">
        <v>27</v>
      </c>
    </row>
    <row r="36" customFormat="false" ht="15" hidden="false" customHeight="false" outlineLevel="0" collapsed="false">
      <c r="A36" s="6" t="s">
        <v>29</v>
      </c>
      <c r="B36" s="6" t="s">
        <v>92</v>
      </c>
      <c r="C36" s="15" t="n">
        <f aca="false">Pfizer_WAC!$K$32</f>
        <v>-0.423601637107776</v>
      </c>
      <c r="D36" s="16" t="n">
        <v>-0.424</v>
      </c>
      <c r="E36" s="7" t="str">
        <f aca="false">IF(ABS(C36-D36)&lt;=MAX(0.006,ABS(D36)*0.02),"OK","Check")</f>
        <v>OK</v>
      </c>
      <c r="F36" s="6" t="s">
        <v>27</v>
      </c>
    </row>
    <row r="37" customFormat="false" ht="15" hidden="false" customHeight="false" outlineLevel="0" collapsed="false">
      <c r="A37" s="6" t="s">
        <v>29</v>
      </c>
      <c r="B37" s="6" t="s">
        <v>93</v>
      </c>
      <c r="C37" s="15" t="n">
        <f aca="false">Pfizer_WAC!$K$33</f>
        <v>-0.169985159534999</v>
      </c>
      <c r="D37" s="16" t="n">
        <v>-0.17</v>
      </c>
      <c r="E37" s="7" t="str">
        <f aca="false">IF(ABS(C37-D37)&lt;=MAX(0.006,ABS(D37)*0.02),"OK","Check")</f>
        <v>OK</v>
      </c>
      <c r="F37" s="6" t="s">
        <v>27</v>
      </c>
    </row>
    <row r="38" customFormat="false" ht="15" hidden="false" customHeight="false" outlineLevel="0" collapsed="false">
      <c r="A38" s="6" t="s">
        <v>29</v>
      </c>
      <c r="B38" s="6" t="s">
        <v>94</v>
      </c>
      <c r="C38" s="19" t="n">
        <f aca="false">Pfizer_WAC!$K$34</f>
        <v>5</v>
      </c>
      <c r="D38" s="20" t="n">
        <v>5</v>
      </c>
      <c r="E38" s="7" t="str">
        <f aca="false">IF(ABS(C38-D38)&lt;=MAX(0.0011,ABS(D38)*0.02),"OK","Check")</f>
        <v>OK</v>
      </c>
      <c r="F38" s="6" t="s">
        <v>27</v>
      </c>
    </row>
    <row r="39" customFormat="false" ht="15" hidden="false" customHeight="false" outlineLevel="0" collapsed="false">
      <c r="A39" s="6" t="s">
        <v>29</v>
      </c>
      <c r="B39" s="6" t="s">
        <v>95</v>
      </c>
      <c r="C39" s="15" t="n">
        <f aca="false">Pfizer_WAC!$K$35</f>
        <v>-0.243371212121212</v>
      </c>
      <c r="D39" s="16" t="n">
        <v>-0.244</v>
      </c>
      <c r="E39" s="7" t="str">
        <f aca="false">IF(ABS(C39-D39)&lt;=MAX(0.006,ABS(D39)*0.02),"OK","Check")</f>
        <v>OK</v>
      </c>
      <c r="F39" s="6" t="s">
        <v>27</v>
      </c>
    </row>
    <row r="40" customFormat="false" ht="15" hidden="false" customHeight="false" outlineLevel="0" collapsed="false">
      <c r="A40" s="6" t="s">
        <v>29</v>
      </c>
      <c r="B40" s="6" t="s">
        <v>96</v>
      </c>
      <c r="C40" s="15" t="n">
        <f aca="false">Pfizer_WAC!$K$36</f>
        <v>-0.169985159534999</v>
      </c>
      <c r="D40" s="16" t="n">
        <v>-0.17</v>
      </c>
      <c r="E40" s="7" t="str">
        <f aca="false">IF(ABS(C40-D40)&lt;=MAX(0.006,ABS(D40)*0.02),"OK","Check")</f>
        <v>OK</v>
      </c>
      <c r="F40" s="6" t="s">
        <v>27</v>
      </c>
    </row>
    <row r="41" customFormat="false" ht="15" hidden="false" customHeight="false" outlineLevel="0" collapsed="false">
      <c r="A41" s="6" t="s">
        <v>29</v>
      </c>
      <c r="B41" s="6" t="s">
        <v>97</v>
      </c>
      <c r="C41" s="15" t="n">
        <f aca="false">Pfizer_WAC!$K$37</f>
        <v>-0.252333700845278</v>
      </c>
      <c r="D41" s="16" t="n">
        <v>-0.252</v>
      </c>
      <c r="E41" s="7" t="str">
        <f aca="false">IF(ABS(C41-D41)&lt;=MAX(0.006,ABS(D41)*0.02),"OK","Check")</f>
        <v>OK</v>
      </c>
      <c r="F41" s="6" t="s">
        <v>27</v>
      </c>
    </row>
    <row r="42" customFormat="false" ht="15" hidden="false" customHeight="false" outlineLevel="0" collapsed="false">
      <c r="A42" s="6" t="s">
        <v>29</v>
      </c>
      <c r="B42" s="6" t="s">
        <v>98</v>
      </c>
      <c r="C42" s="15" t="n">
        <f aca="false">Pfizer_WAC!$K$38</f>
        <v>-0.179811088926432</v>
      </c>
      <c r="D42" s="16" t="n">
        <v>-0.18</v>
      </c>
      <c r="E42" s="7" t="str">
        <f aca="false">IF(ABS(C42-D42)&lt;=MAX(0.006,ABS(D42)*0.02),"OK","Check")</f>
        <v>OK</v>
      </c>
      <c r="F42" s="6" t="s">
        <v>27</v>
      </c>
    </row>
    <row r="43" customFormat="false" ht="15" hidden="false" customHeight="false" outlineLevel="0" collapsed="false">
      <c r="A43" s="6" t="s">
        <v>29</v>
      </c>
      <c r="B43" s="6" t="s">
        <v>99</v>
      </c>
      <c r="C43" s="15" t="n">
        <f aca="false">Pfizer_WAC!$K$40</f>
        <v>0.864213662258924</v>
      </c>
      <c r="D43" s="16" t="n">
        <v>0.86</v>
      </c>
      <c r="E43" s="7" t="str">
        <f aca="false">IF(ABS(C43-D43)&lt;=MAX(0.006,ABS(D43)*0.02),"OK","Check")</f>
        <v>OK</v>
      </c>
      <c r="F43" s="6" t="s">
        <v>27</v>
      </c>
    </row>
    <row r="44" customFormat="false" ht="15" hidden="false" customHeight="false" outlineLevel="0" collapsed="false">
      <c r="A44" s="6" t="s">
        <v>29</v>
      </c>
      <c r="B44" s="6" t="s">
        <v>100</v>
      </c>
      <c r="C44" s="15" t="n">
        <f aca="false">Pfizer_WAC!$K$41</f>
        <v>1.08596117579727</v>
      </c>
      <c r="D44" s="16" t="n">
        <v>1.09</v>
      </c>
      <c r="E44" s="7" t="str">
        <f aca="false">IF(ABS(C44-D44)&lt;=MAX(0.006,ABS(D44)*0.02),"OK","Check")</f>
        <v>OK</v>
      </c>
      <c r="F44" s="6" t="s">
        <v>27</v>
      </c>
    </row>
    <row r="45" customFormat="false" ht="15" hidden="false" customHeight="false" outlineLevel="0" collapsed="false">
      <c r="A45" s="6" t="s">
        <v>29</v>
      </c>
      <c r="B45" s="6" t="s">
        <v>101</v>
      </c>
      <c r="C45" s="15" t="n">
        <f aca="false">Pfizer_WAC!$K$44</f>
        <v>1.08623124821104</v>
      </c>
      <c r="D45" s="16" t="n">
        <v>1.09</v>
      </c>
      <c r="E45" s="7" t="str">
        <f aca="false">IF(ABS(C45-D45)&lt;=MAX(0.006,ABS(D45)*0.02),"OK","Check")</f>
        <v>OK</v>
      </c>
      <c r="F45" s="6" t="s">
        <v>27</v>
      </c>
    </row>
    <row r="46" customFormat="false" ht="15" hidden="false" customHeight="false" outlineLevel="0" collapsed="false">
      <c r="A46" s="6" t="s">
        <v>29</v>
      </c>
      <c r="B46" s="6" t="s">
        <v>102</v>
      </c>
      <c r="C46" s="21" t="n">
        <f aca="false">Pfizer_WAC!$K$46</f>
        <v>9.99751367478866</v>
      </c>
      <c r="D46" s="22" t="n">
        <v>10</v>
      </c>
      <c r="E46" s="7" t="str">
        <f aca="false">IF(ABS(C46-D46)&lt;=MAX(0.051,ABS(D46)*0.02),"OK","Check")</f>
        <v>OK</v>
      </c>
      <c r="F46" s="6" t="s">
        <v>27</v>
      </c>
    </row>
    <row r="47" customFormat="false" ht="15" hidden="false" customHeight="false" outlineLevel="0" collapsed="false">
      <c r="A47" s="6" t="s">
        <v>29</v>
      </c>
      <c r="B47" s="6" t="s">
        <v>103</v>
      </c>
      <c r="C47" s="15" t="n">
        <f aca="false">NADAC!$E$37</f>
        <v>0.325237066539979</v>
      </c>
      <c r="D47" s="16" t="n">
        <v>0.33</v>
      </c>
      <c r="E47" s="7" t="str">
        <f aca="false">IF(ABS(C47-D47)&lt;=MAX(0.006,ABS(D47)*0.02),"OK","Check")</f>
        <v>OK</v>
      </c>
      <c r="F47" s="6" t="s">
        <v>30</v>
      </c>
    </row>
    <row r="48" customFormat="false" ht="15" hidden="false" customHeight="false" outlineLevel="0" collapsed="false">
      <c r="A48" s="6" t="s">
        <v>29</v>
      </c>
      <c r="B48" s="6" t="s">
        <v>104</v>
      </c>
      <c r="C48" s="15" t="n">
        <f aca="false">NADAC!$E$38</f>
        <v>0.566437456491788</v>
      </c>
      <c r="D48" s="16" t="n">
        <v>0.57</v>
      </c>
      <c r="E48" s="7" t="str">
        <f aca="false">IF(ABS(C48-D48)&lt;=MAX(0.006,ABS(D48)*0.02),"OK","Check")</f>
        <v>OK</v>
      </c>
      <c r="F48" s="6" t="s">
        <v>30</v>
      </c>
    </row>
    <row r="49" customFormat="false" ht="15" hidden="false" customHeight="false" outlineLevel="0" collapsed="false">
      <c r="A49" s="6" t="s">
        <v>29</v>
      </c>
      <c r="B49" s="6" t="s">
        <v>105</v>
      </c>
      <c r="C49" s="15" t="n">
        <f aca="false">NADAC!$E$39</f>
        <v>0.562035283924541</v>
      </c>
      <c r="D49" s="16" t="n">
        <v>0.56</v>
      </c>
      <c r="E49" s="7" t="str">
        <f aca="false">IF(ABS(C49-D49)&lt;=MAX(0.006,ABS(D49)*0.02),"OK","Check")</f>
        <v>OK</v>
      </c>
      <c r="F49" s="6" t="s">
        <v>30</v>
      </c>
    </row>
    <row r="50" customFormat="false" ht="15" hidden="false" customHeight="false" outlineLevel="0" collapsed="false">
      <c r="A50" s="6" t="s">
        <v>34</v>
      </c>
      <c r="B50" s="6" t="s">
        <v>106</v>
      </c>
      <c r="C50" s="15" t="n">
        <f aca="false">Medicaid_SDUD!$B$18</f>
        <v>0.905806142981141</v>
      </c>
      <c r="D50" s="16" t="n">
        <v>0.906</v>
      </c>
      <c r="E50" s="7" t="str">
        <f aca="false">IF(ABS(C50-D50)&lt;=MAX(0.006,ABS(D50)*0.02),"OK","Check")</f>
        <v>OK</v>
      </c>
      <c r="F50" s="6" t="s">
        <v>35</v>
      </c>
    </row>
    <row r="51" customFormat="false" ht="15" hidden="false" customHeight="false" outlineLevel="0" collapsed="false">
      <c r="A51" s="6" t="s">
        <v>34</v>
      </c>
      <c r="B51" s="6" t="s">
        <v>107</v>
      </c>
      <c r="C51" s="15" t="n">
        <f aca="false">Medicaid_SDUD!$I$18</f>
        <v>0.750078321648104</v>
      </c>
      <c r="D51" s="16" t="n">
        <v>0.75</v>
      </c>
      <c r="E51" s="7" t="str">
        <f aca="false">IF(ABS(C51-D51)&lt;=MAX(0.006,ABS(D51)*0.02),"OK","Check")</f>
        <v>OK</v>
      </c>
      <c r="F51" s="6" t="s">
        <v>35</v>
      </c>
    </row>
    <row r="52" customFormat="false" ht="15" hidden="false" customHeight="false" outlineLevel="0" collapsed="false">
      <c r="A52" s="6" t="s">
        <v>34</v>
      </c>
      <c r="B52" s="6" t="s">
        <v>108</v>
      </c>
      <c r="C52" s="15" t="n">
        <f aca="false">Medicaid_SDUD!$J$18</f>
        <v>0.73791431109106</v>
      </c>
      <c r="D52" s="16" t="n">
        <v>0.738</v>
      </c>
      <c r="E52" s="7" t="str">
        <f aca="false">IF(ABS(C52-D52)&lt;=MAX(0.006,ABS(D52)*0.02),"OK","Check")</f>
        <v>OK</v>
      </c>
      <c r="F52" s="6" t="s">
        <v>35</v>
      </c>
    </row>
    <row r="53" customFormat="false" ht="15" hidden="false" customHeight="false" outlineLevel="0" collapsed="false">
      <c r="A53" s="6" t="s">
        <v>34</v>
      </c>
      <c r="B53" s="6" t="s">
        <v>109</v>
      </c>
      <c r="C53" s="15" t="n">
        <f aca="false">Medicaid_SDUD!$F$20</f>
        <v>0.00369246683444952</v>
      </c>
      <c r="D53" s="16" t="n">
        <v>0.004</v>
      </c>
      <c r="E53" s="7" t="str">
        <f aca="false">IF(ABS(C53-D53)&lt;=MAX(0.006,ABS(D53)*0.02),"OK","Check")</f>
        <v>OK</v>
      </c>
      <c r="F53" s="6" t="s">
        <v>35</v>
      </c>
    </row>
    <row r="54" customFormat="false" ht="15" hidden="false" customHeight="false" outlineLevel="0" collapsed="false">
      <c r="A54" s="6" t="s">
        <v>34</v>
      </c>
      <c r="B54" s="6" t="s">
        <v>110</v>
      </c>
      <c r="C54" s="15" t="n">
        <f aca="false">Medicaid_SDUD!$J$20</f>
        <v>0.168840140418153</v>
      </c>
      <c r="D54" s="16" t="n">
        <v>0.169</v>
      </c>
      <c r="E54" s="7" t="str">
        <f aca="false">IF(ABS(C54-D54)&lt;=MAX(0.006,ABS(D54)*0.02),"OK","Check")</f>
        <v>OK</v>
      </c>
      <c r="F54" s="6" t="s">
        <v>35</v>
      </c>
    </row>
    <row r="55" customFormat="false" ht="15" hidden="false" customHeight="false" outlineLevel="0" collapsed="false">
      <c r="A55" s="6" t="s">
        <v>34</v>
      </c>
      <c r="B55" s="6" t="s">
        <v>111</v>
      </c>
      <c r="C55" s="15" t="n">
        <f aca="false">Medicaid_SDUD!$J$19</f>
        <v>0.0606222949063174</v>
      </c>
      <c r="D55" s="16" t="n">
        <v>0.061</v>
      </c>
      <c r="E55" s="7" t="str">
        <f aca="false">IF(ABS(C55-D55)&lt;=MAX(0.006,ABS(D55)*0.02),"OK","Check")</f>
        <v>OK</v>
      </c>
      <c r="F55" s="6" t="s">
        <v>35</v>
      </c>
    </row>
    <row r="56" customFormat="false" ht="15" hidden="false" customHeight="false" outlineLevel="0" collapsed="false">
      <c r="A56" s="6" t="s">
        <v>34</v>
      </c>
      <c r="B56" s="6" t="s">
        <v>112</v>
      </c>
      <c r="C56" s="15" t="n">
        <f aca="false">Medicaid_SDUD!$I$37</f>
        <v>0.946116934294829</v>
      </c>
      <c r="D56" s="16" t="n">
        <v>0.946</v>
      </c>
      <c r="E56" s="7" t="str">
        <f aca="false">IF(ABS(C56-D56)&lt;=MAX(0.006,ABS(D56)*0.02),"OK","Check")</f>
        <v>OK</v>
      </c>
      <c r="F56" s="6" t="s">
        <v>35</v>
      </c>
    </row>
    <row r="57" customFormat="false" ht="15" hidden="false" customHeight="false" outlineLevel="0" collapsed="false">
      <c r="A57" s="6" t="s">
        <v>34</v>
      </c>
      <c r="B57" s="6" t="s">
        <v>113</v>
      </c>
      <c r="C57" s="15" t="n">
        <f aca="false">Medicaid_SDUD!$J$37</f>
        <v>0.932188295165394</v>
      </c>
      <c r="D57" s="16" t="n">
        <v>0.932</v>
      </c>
      <c r="E57" s="7" t="str">
        <f aca="false">IF(ABS(C57-D57)&lt;=MAX(0.006,ABS(D57)*0.02),"OK","Check")</f>
        <v>OK</v>
      </c>
      <c r="F57" s="6" t="s">
        <v>35</v>
      </c>
    </row>
    <row r="58" customFormat="false" ht="15" hidden="false" customHeight="false" outlineLevel="0" collapsed="false">
      <c r="A58" s="6" t="s">
        <v>34</v>
      </c>
      <c r="B58" s="6" t="s">
        <v>114</v>
      </c>
      <c r="C58" s="15" t="n">
        <f aca="false">Medicaid_SDUD!$J$38</f>
        <v>0.0678117048346056</v>
      </c>
      <c r="D58" s="16" t="n">
        <v>0.068</v>
      </c>
      <c r="E58" s="7" t="str">
        <f aca="false">IF(ABS(C58-D58)&lt;=MAX(0.006,ABS(D58)*0.02),"OK","Check")</f>
        <v>OK</v>
      </c>
      <c r="F58" s="6" t="s">
        <v>35</v>
      </c>
    </row>
    <row r="59" customFormat="false" ht="15" hidden="false" customHeight="false" outlineLevel="0" collapsed="false">
      <c r="A59" s="6" t="s">
        <v>34</v>
      </c>
      <c r="B59" s="6" t="s">
        <v>115</v>
      </c>
      <c r="C59" s="15" t="n">
        <f aca="false">Medicaid_SDUD!$J$56</f>
        <v>0.572910033657782</v>
      </c>
      <c r="D59" s="16" t="n">
        <v>0.573</v>
      </c>
      <c r="E59" s="7" t="str">
        <f aca="false">IF(ABS(C59-D59)&lt;=MAX(0.006,ABS(D59)*0.02),"OK","Check")</f>
        <v>OK</v>
      </c>
      <c r="F59" s="6" t="s">
        <v>35</v>
      </c>
    </row>
    <row r="60" customFormat="false" ht="15" hidden="false" customHeight="false" outlineLevel="0" collapsed="false">
      <c r="A60" s="6" t="s">
        <v>34</v>
      </c>
      <c r="B60" s="6" t="s">
        <v>116</v>
      </c>
      <c r="C60" s="15" t="n">
        <f aca="false">Medicaid_SDUD!$E$57</f>
        <v>0.281063398992542</v>
      </c>
      <c r="D60" s="16" t="n">
        <v>0.281</v>
      </c>
      <c r="E60" s="7" t="str">
        <f aca="false">IF(ABS(C60-D60)&lt;=MAX(0.006,ABS(D60)*0.02),"OK","Check")</f>
        <v>OK</v>
      </c>
      <c r="F60" s="6" t="s">
        <v>35</v>
      </c>
    </row>
    <row r="61" customFormat="false" ht="15" hidden="false" customHeight="false" outlineLevel="0" collapsed="false">
      <c r="A61" s="6" t="s">
        <v>34</v>
      </c>
      <c r="B61" s="6" t="s">
        <v>117</v>
      </c>
      <c r="C61" s="23" t="n">
        <f aca="false">Medicaid_SDUD!$B$89</f>
        <v>1157</v>
      </c>
      <c r="D61" s="24" t="n">
        <v>1157</v>
      </c>
      <c r="E61" s="7" t="str">
        <f aca="false">IF(ABS(C61-D61)&lt;=MAX(50,ABS(D61)*0.01),"OK","Check")</f>
        <v>OK</v>
      </c>
      <c r="F61" s="6" t="s">
        <v>35</v>
      </c>
    </row>
    <row r="62" customFormat="false" ht="15" hidden="false" customHeight="false" outlineLevel="0" collapsed="false">
      <c r="A62" s="6" t="s">
        <v>34</v>
      </c>
      <c r="B62" s="6" t="s">
        <v>118</v>
      </c>
      <c r="C62" s="15" t="n">
        <f aca="false">Medicaid_SDUD!$B$90</f>
        <v>0.0310162721496931</v>
      </c>
      <c r="D62" s="16" t="n">
        <v>0.031</v>
      </c>
      <c r="E62" s="7" t="str">
        <f aca="false">IF(ABS(C62-D62)&lt;=MAX(0.006,ABS(D62)*0.02),"OK","Check")</f>
        <v>OK</v>
      </c>
      <c r="F62" s="6" t="s">
        <v>35</v>
      </c>
    </row>
    <row r="63" customFormat="false" ht="15" hidden="false" customHeight="false" outlineLevel="0" collapsed="false">
      <c r="A63" s="6" t="s">
        <v>34</v>
      </c>
      <c r="B63" s="6" t="s">
        <v>119</v>
      </c>
      <c r="C63" s="15" t="n">
        <f aca="false">Medicaid_SDUD!$B$91</f>
        <v>0.0604794218453552</v>
      </c>
      <c r="D63" s="16" t="n">
        <v>0.06</v>
      </c>
      <c r="E63" s="7" t="str">
        <f aca="false">IF(ABS(C63-D63)&lt;=MAX(0.006,ABS(D63)*0.02),"OK","Check")</f>
        <v>OK</v>
      </c>
      <c r="F63" s="6" t="s">
        <v>35</v>
      </c>
    </row>
    <row r="64" customFormat="false" ht="15" hidden="false" customHeight="false" outlineLevel="0" collapsed="false">
      <c r="A64" s="6" t="s">
        <v>120</v>
      </c>
      <c r="B64" s="6" t="s">
        <v>121</v>
      </c>
      <c r="C64" s="15" t="n">
        <f aca="false">Medicaid_SDUD!$B$92</f>
        <v>0.0120168726701981</v>
      </c>
      <c r="D64" s="16" t="n">
        <v>0.012</v>
      </c>
      <c r="E64" s="7" t="str">
        <f aca="false">IF(ABS(C64-D64)&lt;=MAX(0.006,ABS(D64)*0.02),"OK","Check")</f>
        <v>OK</v>
      </c>
      <c r="F64" s="6" t="s">
        <v>35</v>
      </c>
    </row>
    <row r="65" customFormat="false" ht="15" hidden="false" customHeight="false" outlineLevel="0" collapsed="false">
      <c r="A65" s="6" t="s">
        <v>34</v>
      </c>
      <c r="B65" s="6" t="s">
        <v>122</v>
      </c>
      <c r="C65" s="15" t="n">
        <f aca="false">CMS_Spending!$F$63</f>
        <v>0.46614142466467</v>
      </c>
      <c r="D65" s="16" t="n">
        <v>0.466</v>
      </c>
      <c r="E65" s="7" t="str">
        <f aca="false">IF(ABS(C65-D65)&lt;=MAX(0.006,ABS(D65)*0.02),"OK","Check")</f>
        <v>OK</v>
      </c>
      <c r="F65" s="6" t="s">
        <v>37</v>
      </c>
    </row>
    <row r="66" customFormat="false" ht="15" hidden="false" customHeight="false" outlineLevel="0" collapsed="false">
      <c r="A66" s="6" t="s">
        <v>34</v>
      </c>
      <c r="B66" s="6" t="s">
        <v>123</v>
      </c>
      <c r="C66" s="15" t="n">
        <f aca="false">CMS_Spending!$F$64</f>
        <v>0.265041020966272</v>
      </c>
      <c r="D66" s="16" t="n">
        <v>0.265</v>
      </c>
      <c r="E66" s="7" t="str">
        <f aca="false">IF(ABS(C66-D66)&lt;=MAX(0.006,ABS(D66)*0.02),"OK","Check")</f>
        <v>OK</v>
      </c>
      <c r="F66" s="6" t="s">
        <v>37</v>
      </c>
    </row>
    <row r="67" customFormat="false" ht="15" hidden="false" customHeight="false" outlineLevel="0" collapsed="false">
      <c r="A67" s="6" t="s">
        <v>34</v>
      </c>
      <c r="B67" s="6" t="s">
        <v>124</v>
      </c>
      <c r="C67" s="15" t="n">
        <f aca="false">CMS_Spending!$F$65</f>
        <v>0.245604896470895</v>
      </c>
      <c r="D67" s="16" t="n">
        <v>0.246</v>
      </c>
      <c r="E67" s="7" t="str">
        <f aca="false">IF(ABS(C67-D67)&lt;=MAX(0.006,ABS(D67)*0.02),"OK","Check")</f>
        <v>OK</v>
      </c>
      <c r="F67" s="6" t="s">
        <v>37</v>
      </c>
    </row>
    <row r="68" customFormat="false" ht="15" hidden="false" customHeight="false" outlineLevel="0" collapsed="false">
      <c r="A68" s="6" t="s">
        <v>34</v>
      </c>
      <c r="B68" s="6" t="s">
        <v>125</v>
      </c>
      <c r="C68" s="15" t="n">
        <f aca="false">CMS_Spending!$G$63</f>
        <v>0.992802931169851</v>
      </c>
      <c r="D68" s="16" t="n">
        <v>0.993</v>
      </c>
      <c r="E68" s="7" t="str">
        <f aca="false">IF(ABS(C68-D68)&lt;=MAX(0.006,ABS(D68)*0.02),"OK","Check")</f>
        <v>OK</v>
      </c>
      <c r="F68" s="6" t="s">
        <v>37</v>
      </c>
    </row>
    <row r="69" customFormat="false" ht="15" hidden="false" customHeight="false" outlineLevel="0" collapsed="false">
      <c r="A69" s="6" t="s">
        <v>34</v>
      </c>
      <c r="B69" s="6" t="s">
        <v>126</v>
      </c>
      <c r="C69" s="15" t="n">
        <f aca="false">CMS_Spending!$H$63</f>
        <v>0.0735081228888531</v>
      </c>
      <c r="D69" s="16" t="n">
        <v>0.074</v>
      </c>
      <c r="E69" s="7" t="str">
        <f aca="false">IF(ABS(C69-D69)&lt;=MAX(0.006,ABS(D69)*0.02),"OK","Check")</f>
        <v>OK</v>
      </c>
      <c r="F69" s="6" t="s">
        <v>37</v>
      </c>
    </row>
    <row r="70" customFormat="false" ht="15" hidden="false" customHeight="false" outlineLevel="0" collapsed="false">
      <c r="A70" s="6" t="s">
        <v>34</v>
      </c>
      <c r="B70" s="6" t="s">
        <v>127</v>
      </c>
      <c r="C70" s="15" t="n">
        <f aca="false">CMS_Spending!$H$67</f>
        <v>0.8849123371401</v>
      </c>
      <c r="D70" s="16" t="n">
        <v>0.885</v>
      </c>
      <c r="E70" s="7" t="str">
        <f aca="false">IF(ABS(C70-D70)&lt;=MAX(0.006,ABS(D70)*0.02),"OK","Check")</f>
        <v>OK</v>
      </c>
      <c r="F70" s="6" t="s">
        <v>37</v>
      </c>
    </row>
    <row r="71" customFormat="false" ht="15" hidden="false" customHeight="false" outlineLevel="0" collapsed="false">
      <c r="A71" s="6" t="s">
        <v>34</v>
      </c>
      <c r="B71" s="6" t="s">
        <v>128</v>
      </c>
      <c r="C71" s="13" t="n">
        <f aca="false">CMS_Spending!$F$70</f>
        <v>4.65972653199066</v>
      </c>
      <c r="D71" s="14" t="n">
        <v>4.66</v>
      </c>
      <c r="E71" s="7" t="str">
        <f aca="false">IF(ABS(C71-D71)&lt;=MAX(0.0051,ABS(D71)*0.02),"OK","Check")</f>
        <v>OK</v>
      </c>
      <c r="F71" s="6" t="s">
        <v>37</v>
      </c>
    </row>
    <row r="72" customFormat="false" ht="15" hidden="false" customHeight="false" outlineLevel="0" collapsed="false">
      <c r="A72" s="6" t="s">
        <v>34</v>
      </c>
      <c r="B72" s="6" t="s">
        <v>129</v>
      </c>
      <c r="C72" s="13" t="n">
        <f aca="false">CMS_Spending!$F$71</f>
        <v>7.39552996321315</v>
      </c>
      <c r="D72" s="14" t="n">
        <v>7.4</v>
      </c>
      <c r="E72" s="7" t="str">
        <f aca="false">IF(ABS(C72-D72)&lt;=MAX(0.0051,ABS(D72)*0.02),"OK","Check")</f>
        <v>OK</v>
      </c>
      <c r="F72" s="6" t="s">
        <v>37</v>
      </c>
    </row>
    <row r="73" customFormat="false" ht="15" hidden="false" customHeight="false" outlineLevel="0" collapsed="false">
      <c r="A73" s="6" t="s">
        <v>34</v>
      </c>
      <c r="B73" s="6" t="s">
        <v>130</v>
      </c>
      <c r="C73" s="15" t="n">
        <f aca="false">CMS_Spending!$F$76</f>
        <v>0.715404997185653</v>
      </c>
      <c r="D73" s="16" t="n">
        <v>0.72</v>
      </c>
      <c r="E73" s="7" t="str">
        <f aca="false">IF(ABS(C73-D73)&lt;=MAX(0.006,ABS(D73)*0.02),"OK","Check")</f>
        <v>OK</v>
      </c>
      <c r="F73" s="6" t="s">
        <v>37</v>
      </c>
    </row>
    <row r="74" customFormat="false" ht="15" hidden="false" customHeight="false" outlineLevel="0" collapsed="false">
      <c r="A74" s="6" t="s">
        <v>34</v>
      </c>
      <c r="B74" s="6" t="s">
        <v>131</v>
      </c>
      <c r="C74" s="13" t="n">
        <f aca="false">CMS_Spending!$F$136</f>
        <v>7.51</v>
      </c>
      <c r="D74" s="14" t="n">
        <v>7.51</v>
      </c>
      <c r="E74" s="7" t="str">
        <f aca="false">IF(ABS(C74-D74)&lt;=MAX(0.0051,ABS(D74)*0.02),"OK","Check")</f>
        <v>OK</v>
      </c>
      <c r="F74" s="6" t="s">
        <v>37</v>
      </c>
    </row>
    <row r="75" customFormat="false" ht="15" hidden="false" customHeight="false" outlineLevel="0" collapsed="false">
      <c r="A75" s="6" t="s">
        <v>34</v>
      </c>
      <c r="B75" s="6" t="s">
        <v>132</v>
      </c>
      <c r="C75" s="13" t="n">
        <f aca="false">CMS_Spending!$F$137</f>
        <v>17.9945904126817</v>
      </c>
      <c r="D75" s="14" t="n">
        <v>17.99</v>
      </c>
      <c r="E75" s="7" t="str">
        <f aca="false">IF(ABS(C75-D75)&lt;=MAX(0.0051,ABS(D75)*0.02),"OK","Check")</f>
        <v>OK</v>
      </c>
      <c r="F75" s="6" t="s">
        <v>37</v>
      </c>
    </row>
    <row r="76" customFormat="false" ht="15" hidden="false" customHeight="false" outlineLevel="0" collapsed="false">
      <c r="A76" s="6" t="s">
        <v>34</v>
      </c>
      <c r="B76" s="6" t="s">
        <v>133</v>
      </c>
      <c r="C76" s="23" t="n">
        <f aca="false">CMS_Spending!$F$138</f>
        <v>54721</v>
      </c>
      <c r="D76" s="24" t="n">
        <v>54700</v>
      </c>
      <c r="E76" s="7" t="str">
        <f aca="false">IF(ABS(C76-D76)&lt;=MAX(50,ABS(D76)*0.01),"OK","Check")</f>
        <v>OK</v>
      </c>
      <c r="F76" s="6" t="s">
        <v>37</v>
      </c>
    </row>
    <row r="77" customFormat="false" ht="15" hidden="false" customHeight="false" outlineLevel="0" collapsed="false">
      <c r="A77" s="6" t="s">
        <v>34</v>
      </c>
      <c r="B77" s="6" t="s">
        <v>134</v>
      </c>
      <c r="C77" s="23" t="n">
        <f aca="false">CMS_Spending!$F$140</f>
        <v>26691.5</v>
      </c>
      <c r="D77" s="24" t="n">
        <v>26700</v>
      </c>
      <c r="E77" s="7" t="str">
        <f aca="false">IF(ABS(C77-D77)&lt;=MAX(50,ABS(D77)*0.01),"OK","Check")</f>
        <v>OK</v>
      </c>
      <c r="F77" s="6" t="s">
        <v>37</v>
      </c>
    </row>
    <row r="78" customFormat="false" ht="15" hidden="false" customHeight="false" outlineLevel="0" collapsed="false">
      <c r="A78" s="6" t="s">
        <v>135</v>
      </c>
      <c r="B78" s="6" t="s">
        <v>136</v>
      </c>
      <c r="C78" s="21" t="n">
        <f aca="false">CMS_Spending!$F$147</f>
        <v>0.228972911048258</v>
      </c>
      <c r="D78" s="22" t="n">
        <v>0.23</v>
      </c>
      <c r="E78" s="7" t="str">
        <f aca="false">IF(ABS(C78-D78)&lt;=MAX(0.051,ABS(D78)*0.02),"OK","Check")</f>
        <v>OK</v>
      </c>
      <c r="F78" s="6" t="s">
        <v>37</v>
      </c>
    </row>
    <row r="79" customFormat="false" ht="15" hidden="false" customHeight="false" outlineLevel="0" collapsed="false">
      <c r="A79" s="6" t="s">
        <v>135</v>
      </c>
      <c r="B79" s="6" t="s">
        <v>137</v>
      </c>
      <c r="C79" s="21" t="n">
        <f aca="false">CMS_Spending!$F$148</f>
        <v>0.130315870440204</v>
      </c>
      <c r="D79" s="22" t="n">
        <v>0.13</v>
      </c>
      <c r="E79" s="7" t="str">
        <f aca="false">IF(ABS(C79-D79)&lt;=MAX(0.051,ABS(D79)*0.02),"OK","Check")</f>
        <v>OK</v>
      </c>
      <c r="F79" s="6" t="s">
        <v>37</v>
      </c>
    </row>
    <row r="80" customFormat="false" ht="15" hidden="false" customHeight="false" outlineLevel="0" collapsed="false">
      <c r="A80" s="6" t="s">
        <v>135</v>
      </c>
      <c r="B80" s="6" t="s">
        <v>138</v>
      </c>
      <c r="C80" s="21" t="n">
        <f aca="false">CMS_Spending!$F$149</f>
        <v>1.42493506890113</v>
      </c>
      <c r="D80" s="22" t="n">
        <v>1.4</v>
      </c>
      <c r="E80" s="7" t="str">
        <f aca="false">IF(ABS(C80-D80)&lt;=MAX(0.051,ABS(D80)*0.02),"OK","Check")</f>
        <v>OK</v>
      </c>
      <c r="F80" s="6" t="s">
        <v>37</v>
      </c>
    </row>
    <row r="81" customFormat="false" ht="15" hidden="false" customHeight="false" outlineLevel="0" collapsed="false">
      <c r="A81" s="6" t="s">
        <v>135</v>
      </c>
      <c r="B81" s="6" t="s">
        <v>139</v>
      </c>
      <c r="C81" s="25" t="n">
        <f aca="false">Market_Size!$B$25</f>
        <v>24.0115606936416</v>
      </c>
      <c r="D81" s="26" t="n">
        <v>24</v>
      </c>
      <c r="E81" s="7" t="str">
        <f aca="false">IF(ABS(C81-D81)&lt;=MAX(0.051,ABS(D81)*0.02),"OK","Check")</f>
        <v>OK</v>
      </c>
      <c r="F81" s="6" t="s">
        <v>40</v>
      </c>
    </row>
    <row r="82" customFormat="false" ht="15" hidden="false" customHeight="false" outlineLevel="0" collapsed="false">
      <c r="A82" s="6" t="s">
        <v>135</v>
      </c>
      <c r="B82" s="6" t="s">
        <v>140</v>
      </c>
      <c r="C82" s="15" t="n">
        <f aca="false">Market_Size!$B$26</f>
        <v>0.0833734746307001</v>
      </c>
      <c r="D82" s="16" t="n">
        <v>0.08</v>
      </c>
      <c r="E82" s="7" t="str">
        <f aca="false">IF(ABS(C82-D82)&lt;=MAX(0.006,ABS(D82)*0.02),"OK","Check")</f>
        <v>OK</v>
      </c>
      <c r="F82" s="6" t="s">
        <v>40</v>
      </c>
    </row>
    <row r="83" customFormat="false" ht="15" hidden="false" customHeight="false" outlineLevel="0" collapsed="false">
      <c r="A83" s="6" t="s">
        <v>135</v>
      </c>
      <c r="B83" s="6" t="s">
        <v>141</v>
      </c>
      <c r="C83" s="15" t="n">
        <f aca="false">Market_Size!$C$44</f>
        <v>-0.503759398496241</v>
      </c>
      <c r="D83" s="2"/>
      <c r="E83" s="2"/>
      <c r="F83" s="6" t="s">
        <v>40</v>
      </c>
    </row>
    <row r="84" customFormat="false" ht="15" hidden="false" customHeight="false" outlineLevel="0" collapsed="false">
      <c r="A84" s="6" t="s">
        <v>142</v>
      </c>
      <c r="B84" s="6" t="s">
        <v>143</v>
      </c>
      <c r="C84" s="15" t="n">
        <f aca="false">Market_Size!$B$33</f>
        <v>0.835298742138365</v>
      </c>
      <c r="D84" s="2"/>
      <c r="E84" s="2"/>
      <c r="F84" s="6" t="s">
        <v>40</v>
      </c>
    </row>
    <row r="85" customFormat="false" ht="15" hidden="false" customHeight="false" outlineLevel="0" collapsed="false">
      <c r="A85" s="6" t="s">
        <v>43</v>
      </c>
      <c r="B85" s="6" t="s">
        <v>144</v>
      </c>
      <c r="C85" s="27" t="n">
        <f aca="false">Timing!$B$6</f>
        <v>46569</v>
      </c>
      <c r="D85" s="28" t="n">
        <v>46569</v>
      </c>
      <c r="E85" s="7" t="str">
        <f aca="false">IF(ABS(C85-D85)&lt;=31,"OK","Check")</f>
        <v>OK</v>
      </c>
      <c r="F85" s="6" t="s">
        <v>43</v>
      </c>
    </row>
    <row r="86" customFormat="false" ht="15" hidden="false" customHeight="false" outlineLevel="0" collapsed="false">
      <c r="A86" s="6" t="s">
        <v>43</v>
      </c>
      <c r="B86" s="6" t="s">
        <v>145</v>
      </c>
      <c r="C86" s="8" t="str">
        <f aca="false">Timing!$B$7</f>
        <v>FY28</v>
      </c>
      <c r="D86" s="5" t="s">
        <v>146</v>
      </c>
      <c r="E86" s="7" t="str">
        <f aca="false">IF(C86=D86,"OK","Check")</f>
        <v>OK</v>
      </c>
      <c r="F86" s="6" t="s">
        <v>43</v>
      </c>
    </row>
    <row r="87" customFormat="false" ht="15" hidden="false" customHeight="false" outlineLevel="0" collapsed="false">
      <c r="A87" s="6" t="s">
        <v>43</v>
      </c>
      <c r="B87" s="6" t="s">
        <v>147</v>
      </c>
      <c r="C87" s="27" t="n">
        <f aca="false">Timing!$B$10</f>
        <v>45741</v>
      </c>
      <c r="D87" s="28" t="n">
        <v>45741</v>
      </c>
      <c r="E87" s="7" t="str">
        <f aca="false">IF(ABS(C87-D87)&lt;=31,"OK","Check")</f>
        <v>OK</v>
      </c>
      <c r="F87" s="6" t="s">
        <v>43</v>
      </c>
    </row>
    <row r="88" customFormat="false" ht="15" hidden="false" customHeight="false" outlineLevel="0" collapsed="false">
      <c r="A88" s="6" t="s">
        <v>43</v>
      </c>
      <c r="B88" s="6" t="s">
        <v>148</v>
      </c>
      <c r="C88" s="19" t="n">
        <f aca="false">Timing!$B$11</f>
        <v>25</v>
      </c>
      <c r="D88" s="20" t="n">
        <v>25</v>
      </c>
      <c r="E88" s="7" t="str">
        <f aca="false">IF(ABS(C88-D88)&lt;=MAX(0.0011,ABS(D88)*0.02),"OK","Check")</f>
        <v>OK</v>
      </c>
      <c r="F88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90"/>
    <col collapsed="false" customWidth="true" hidden="false" outlineLevel="0" max="5" min="5" style="0" width="1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149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0" t="s">
        <v>150</v>
      </c>
      <c r="B4" s="10" t="s">
        <v>151</v>
      </c>
      <c r="C4" s="10" t="s">
        <v>152</v>
      </c>
      <c r="D4" s="10" t="s">
        <v>153</v>
      </c>
      <c r="E4" s="2"/>
      <c r="F4" s="2"/>
    </row>
    <row r="5" customFormat="false" ht="23.85" hidden="false" customHeight="false" outlineLevel="0" collapsed="false">
      <c r="A5" s="6" t="s">
        <v>154</v>
      </c>
      <c r="B5" s="29" t="n">
        <v>1.06</v>
      </c>
      <c r="C5" s="6" t="s">
        <v>155</v>
      </c>
      <c r="D5" s="30" t="s">
        <v>156</v>
      </c>
      <c r="E5" s="2"/>
      <c r="F5" s="2"/>
    </row>
    <row r="6" customFormat="false" ht="15" hidden="false" customHeight="false" outlineLevel="0" collapsed="false">
      <c r="A6" s="6" t="s">
        <v>157</v>
      </c>
      <c r="B6" s="20" t="n">
        <v>2024</v>
      </c>
      <c r="C6" s="6" t="s">
        <v>158</v>
      </c>
      <c r="D6" s="30" t="s">
        <v>159</v>
      </c>
      <c r="E6" s="2"/>
      <c r="F6" s="2"/>
    </row>
    <row r="7" customFormat="false" ht="15" hidden="false" customHeight="false" outlineLevel="0" collapsed="false">
      <c r="A7" s="6" t="s">
        <v>160</v>
      </c>
      <c r="B7" s="20" t="n">
        <v>2</v>
      </c>
      <c r="C7" s="6" t="s">
        <v>161</v>
      </c>
      <c r="D7" s="30" t="s">
        <v>162</v>
      </c>
      <c r="E7" s="2"/>
      <c r="F7" s="2"/>
    </row>
    <row r="8" customFormat="false" ht="15" hidden="false" customHeight="false" outlineLevel="0" collapsed="false">
      <c r="A8" s="6" t="s">
        <v>163</v>
      </c>
      <c r="B8" s="31" t="n">
        <f aca="false">B6+(B7-1)/4</f>
        <v>2024.25</v>
      </c>
      <c r="C8" s="6" t="s">
        <v>164</v>
      </c>
      <c r="D8" s="30" t="s">
        <v>165</v>
      </c>
      <c r="E8" s="2"/>
      <c r="F8" s="2"/>
    </row>
    <row r="9" customFormat="false" ht="15" hidden="false" customHeight="false" outlineLevel="0" collapsed="false">
      <c r="A9" s="6" t="s">
        <v>166</v>
      </c>
      <c r="B9" s="32" t="n">
        <v>86.5</v>
      </c>
      <c r="C9" s="6" t="s">
        <v>167</v>
      </c>
      <c r="D9" s="30" t="s">
        <v>168</v>
      </c>
      <c r="E9" s="2"/>
      <c r="F9" s="2"/>
    </row>
    <row r="10" customFormat="false" ht="15" hidden="false" customHeight="false" outlineLevel="0" collapsed="false">
      <c r="A10" s="6" t="s">
        <v>169</v>
      </c>
      <c r="B10" s="20" t="n">
        <v>10</v>
      </c>
      <c r="C10" s="6" t="s">
        <v>170</v>
      </c>
      <c r="D10" s="30" t="s">
        <v>171</v>
      </c>
      <c r="E10" s="2"/>
      <c r="F10" s="2"/>
    </row>
    <row r="11" customFormat="false" ht="15" hidden="false" customHeight="false" outlineLevel="0" collapsed="false">
      <c r="A11" s="6" t="s">
        <v>172</v>
      </c>
      <c r="B11" s="33" t="n">
        <v>46266</v>
      </c>
      <c r="C11" s="6" t="s">
        <v>173</v>
      </c>
      <c r="D11" s="30" t="s">
        <v>174</v>
      </c>
      <c r="E11" s="2"/>
      <c r="F11" s="2"/>
    </row>
    <row r="12" customFormat="false" ht="15" hidden="false" customHeight="false" outlineLevel="0" collapsed="false">
      <c r="A12" s="6" t="s">
        <v>175</v>
      </c>
      <c r="B12" s="28" t="n">
        <v>46388</v>
      </c>
      <c r="C12" s="6" t="s">
        <v>173</v>
      </c>
      <c r="D12" s="30" t="s">
        <v>176</v>
      </c>
      <c r="E12" s="2"/>
      <c r="F12" s="2"/>
    </row>
    <row r="13" customFormat="false" ht="15" hidden="false" customHeight="false" outlineLevel="0" collapsed="false">
      <c r="A13" s="6" t="s">
        <v>177</v>
      </c>
      <c r="B13" s="28" t="n">
        <v>46477</v>
      </c>
      <c r="C13" s="6" t="s">
        <v>173</v>
      </c>
      <c r="D13" s="30" t="s">
        <v>178</v>
      </c>
      <c r="E13" s="2"/>
      <c r="F13" s="2"/>
    </row>
    <row r="14" customFormat="false" ht="15" hidden="false" customHeight="false" outlineLevel="0" collapsed="false">
      <c r="A14" s="6" t="s">
        <v>179</v>
      </c>
      <c r="B14" s="20" t="n">
        <v>180</v>
      </c>
      <c r="C14" s="6" t="s">
        <v>180</v>
      </c>
      <c r="D14" s="30" t="s">
        <v>181</v>
      </c>
      <c r="E14" s="2"/>
      <c r="F14" s="2"/>
    </row>
    <row r="15" customFormat="false" ht="15" hidden="false" customHeight="false" outlineLevel="0" collapsed="false">
      <c r="A15" s="6" t="s">
        <v>182</v>
      </c>
      <c r="B15" s="28" t="n">
        <v>45561</v>
      </c>
      <c r="C15" s="6" t="s">
        <v>173</v>
      </c>
      <c r="D15" s="30" t="s">
        <v>183</v>
      </c>
      <c r="E15" s="2"/>
      <c r="F15" s="2"/>
    </row>
    <row r="16" customFormat="false" ht="15" hidden="false" customHeight="false" outlineLevel="0" collapsed="false">
      <c r="A16" s="6" t="s">
        <v>184</v>
      </c>
      <c r="B16" s="28" t="n">
        <v>45540</v>
      </c>
      <c r="C16" s="6" t="s">
        <v>173</v>
      </c>
      <c r="D16" s="30" t="s">
        <v>185</v>
      </c>
      <c r="E16" s="2"/>
      <c r="F16" s="2"/>
    </row>
    <row r="17" customFormat="false" ht="15" hidden="false" customHeight="false" outlineLevel="0" collapsed="false">
      <c r="A17" s="6" t="s">
        <v>186</v>
      </c>
      <c r="B17" s="28" t="n">
        <v>46316</v>
      </c>
      <c r="C17" s="6" t="s">
        <v>173</v>
      </c>
      <c r="D17" s="30" t="s">
        <v>187</v>
      </c>
      <c r="E17" s="2"/>
      <c r="F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</row>
    <row r="20" customFormat="false" ht="15" hidden="false" customHeight="false" outlineLevel="0" collapsed="false">
      <c r="A20" s="4" t="s">
        <v>188</v>
      </c>
      <c r="B20" s="2"/>
      <c r="C20" s="2"/>
      <c r="D20" s="2"/>
      <c r="E20" s="2"/>
      <c r="F20" s="2"/>
    </row>
    <row r="21" customFormat="false" ht="23.85" hidden="false" customHeight="false" outlineLevel="0" collapsed="false">
      <c r="A21" s="10" t="s">
        <v>189</v>
      </c>
      <c r="B21" s="10" t="s">
        <v>190</v>
      </c>
      <c r="C21" s="10" t="s">
        <v>191</v>
      </c>
      <c r="D21" s="10" t="s">
        <v>192</v>
      </c>
      <c r="E21" s="10" t="s">
        <v>193</v>
      </c>
      <c r="F21" s="10" t="s">
        <v>153</v>
      </c>
    </row>
    <row r="22" customFormat="false" ht="15" hidden="false" customHeight="false" outlineLevel="0" collapsed="false">
      <c r="A22" s="6" t="s">
        <v>194</v>
      </c>
      <c r="B22" s="5" t="s">
        <v>195</v>
      </c>
      <c r="C22" s="34" t="n">
        <v>1</v>
      </c>
      <c r="D22" s="5" t="s">
        <v>196</v>
      </c>
      <c r="E22" s="34" t="n">
        <v>8</v>
      </c>
      <c r="F22" s="6" t="s">
        <v>197</v>
      </c>
    </row>
    <row r="23" customFormat="false" ht="15" hidden="false" customHeight="false" outlineLevel="0" collapsed="false">
      <c r="A23" s="6" t="s">
        <v>198</v>
      </c>
      <c r="B23" s="5" t="s">
        <v>199</v>
      </c>
      <c r="C23" s="34" t="n">
        <v>1</v>
      </c>
      <c r="D23" s="5" t="s">
        <v>196</v>
      </c>
      <c r="E23" s="34" t="n">
        <v>25</v>
      </c>
      <c r="F23" s="6" t="s">
        <v>200</v>
      </c>
    </row>
    <row r="24" customFormat="false" ht="15" hidden="false" customHeight="false" outlineLevel="0" collapsed="false">
      <c r="A24" s="6" t="s">
        <v>201</v>
      </c>
      <c r="B24" s="5" t="s">
        <v>199</v>
      </c>
      <c r="C24" s="34" t="n">
        <v>4</v>
      </c>
      <c r="D24" s="5" t="s">
        <v>196</v>
      </c>
      <c r="E24" s="34" t="n">
        <v>100</v>
      </c>
      <c r="F24" s="6" t="s">
        <v>202</v>
      </c>
    </row>
    <row r="25" customFormat="false" ht="15" hidden="false" customHeight="false" outlineLevel="0" collapsed="false">
      <c r="A25" s="6" t="s">
        <v>203</v>
      </c>
      <c r="B25" s="5" t="s">
        <v>199</v>
      </c>
      <c r="C25" s="34" t="n">
        <v>8</v>
      </c>
      <c r="D25" s="5" t="s">
        <v>196</v>
      </c>
      <c r="E25" s="34" t="n">
        <v>200</v>
      </c>
      <c r="F25" s="6" t="s">
        <v>202</v>
      </c>
    </row>
    <row r="26" customFormat="false" ht="15" hidden="false" customHeight="false" outlineLevel="0" collapsed="false">
      <c r="A26" s="6" t="s">
        <v>204</v>
      </c>
      <c r="B26" s="5" t="s">
        <v>199</v>
      </c>
      <c r="C26" s="34" t="n">
        <v>16</v>
      </c>
      <c r="D26" s="5" t="s">
        <v>196</v>
      </c>
      <c r="E26" s="34" t="n">
        <v>400</v>
      </c>
      <c r="F26" s="6" t="s">
        <v>202</v>
      </c>
    </row>
    <row r="27" customFormat="false" ht="15" hidden="false" customHeight="false" outlineLevel="0" collapsed="false">
      <c r="A27" s="6" t="s">
        <v>205</v>
      </c>
      <c r="B27" s="5" t="s">
        <v>206</v>
      </c>
      <c r="C27" s="34" t="n">
        <v>1</v>
      </c>
      <c r="D27" s="5" t="s">
        <v>206</v>
      </c>
      <c r="E27" s="34" t="n">
        <v>1</v>
      </c>
      <c r="F27" s="6" t="s">
        <v>207</v>
      </c>
    </row>
    <row r="28" customFormat="false" ht="15" hidden="false" customHeight="false" outlineLevel="0" collapsed="false">
      <c r="A28" s="6" t="s">
        <v>208</v>
      </c>
      <c r="B28" s="5" t="s">
        <v>206</v>
      </c>
      <c r="C28" s="34" t="n">
        <v>2.5</v>
      </c>
      <c r="D28" s="5" t="s">
        <v>206</v>
      </c>
      <c r="E28" s="34" t="n">
        <v>2.5</v>
      </c>
      <c r="F28" s="6" t="s">
        <v>209</v>
      </c>
    </row>
    <row r="29" customFormat="false" ht="15" hidden="false" customHeight="false" outlineLevel="0" collapsed="false">
      <c r="A29" s="6" t="s">
        <v>210</v>
      </c>
      <c r="B29" s="5" t="s">
        <v>206</v>
      </c>
      <c r="C29" s="34" t="n">
        <v>3</v>
      </c>
      <c r="D29" s="5" t="s">
        <v>206</v>
      </c>
      <c r="E29" s="34" t="n">
        <v>3</v>
      </c>
      <c r="F29" s="6" t="s">
        <v>211</v>
      </c>
    </row>
    <row r="30" customFormat="false" ht="15" hidden="false" customHeight="false" outlineLevel="0" collapsed="false">
      <c r="A30" s="6" t="s">
        <v>212</v>
      </c>
      <c r="B30" s="5" t="s">
        <v>206</v>
      </c>
      <c r="C30" s="34" t="n">
        <v>5</v>
      </c>
      <c r="D30" s="5" t="s">
        <v>206</v>
      </c>
      <c r="E30" s="34" t="n">
        <v>5</v>
      </c>
      <c r="F30" s="6" t="s">
        <v>213</v>
      </c>
    </row>
    <row r="31" customFormat="false" ht="15" hidden="false" customHeight="false" outlineLevel="0" collapsed="false">
      <c r="A31" s="6" t="s">
        <v>214</v>
      </c>
      <c r="B31" s="5" t="s">
        <v>206</v>
      </c>
      <c r="C31" s="34" t="n">
        <v>10</v>
      </c>
      <c r="D31" s="5" t="s">
        <v>206</v>
      </c>
      <c r="E31" s="34" t="n">
        <v>10</v>
      </c>
      <c r="F31" s="6" t="s">
        <v>213</v>
      </c>
    </row>
    <row r="32" customFormat="false" ht="15" hidden="false" customHeight="false" outlineLevel="0" collapsed="false">
      <c r="A32" s="6" t="s">
        <v>215</v>
      </c>
      <c r="B32" s="5" t="s">
        <v>216</v>
      </c>
      <c r="C32" s="34" t="n">
        <v>1</v>
      </c>
      <c r="D32" s="5" t="s">
        <v>217</v>
      </c>
      <c r="E32" s="34" t="n">
        <v>40</v>
      </c>
      <c r="F32" s="6" t="s">
        <v>218</v>
      </c>
    </row>
    <row r="33" customFormat="false" ht="15" hidden="false" customHeight="false" outlineLevel="0" collapsed="false">
      <c r="A33" s="6" t="s">
        <v>219</v>
      </c>
      <c r="B33" s="5" t="s">
        <v>220</v>
      </c>
      <c r="C33" s="34" t="n">
        <v>1</v>
      </c>
      <c r="D33" s="5" t="s">
        <v>217</v>
      </c>
      <c r="E33" s="34" t="n">
        <v>80</v>
      </c>
      <c r="F33" s="6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5"/>
    <col collapsed="false" customWidth="true" hidden="false" outlineLevel="0" max="4" min="4" style="0" width="9"/>
    <col collapsed="false" customWidth="true" hidden="false" outlineLevel="0" max="12" min="5" style="0" width="11"/>
    <col collapsed="false" customWidth="true" hidden="false" outlineLevel="0" max="13" min="13" style="0" width="10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1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223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42" hidden="false" customHeight="true" outlineLevel="0" collapsed="false">
      <c r="A5" s="10" t="s">
        <v>224</v>
      </c>
      <c r="B5" s="10" t="s">
        <v>225</v>
      </c>
      <c r="C5" s="10" t="s">
        <v>226</v>
      </c>
      <c r="D5" s="10" t="s">
        <v>227</v>
      </c>
      <c r="E5" s="10" t="s">
        <v>228</v>
      </c>
      <c r="F5" s="10" t="s">
        <v>229</v>
      </c>
      <c r="G5" s="10" t="s">
        <v>230</v>
      </c>
      <c r="H5" s="10" t="s">
        <v>231</v>
      </c>
      <c r="I5" s="10" t="s">
        <v>232</v>
      </c>
      <c r="J5" s="10" t="s">
        <v>233</v>
      </c>
      <c r="K5" s="10" t="s">
        <v>234</v>
      </c>
      <c r="L5" s="10" t="s">
        <v>235</v>
      </c>
      <c r="M5" s="10" t="s">
        <v>236</v>
      </c>
      <c r="N5" s="10" t="s">
        <v>237</v>
      </c>
    </row>
    <row r="6" customFormat="false" ht="15" hidden="false" customHeight="false" outlineLevel="0" collapsed="false">
      <c r="A6" s="5" t="s">
        <v>238</v>
      </c>
      <c r="B6" s="5" t="s">
        <v>239</v>
      </c>
      <c r="C6" s="20" t="n">
        <v>1</v>
      </c>
      <c r="D6" s="31" t="n">
        <f aca="false">VALUE(B6)+(C6-1)/4</f>
        <v>2016</v>
      </c>
      <c r="E6" s="18" t="n">
        <v>2.898</v>
      </c>
      <c r="F6" s="18" t="n">
        <v>4.105</v>
      </c>
      <c r="G6" s="35"/>
      <c r="H6" s="18" t="n">
        <v>7.502</v>
      </c>
      <c r="I6" s="18" t="n">
        <v>4.308</v>
      </c>
      <c r="J6" s="18" t="n">
        <v>8.334</v>
      </c>
      <c r="K6" s="35"/>
      <c r="L6" s="18" t="n">
        <v>4.495</v>
      </c>
      <c r="M6" s="5" t="s">
        <v>240</v>
      </c>
      <c r="N6" s="36" t="s">
        <v>241</v>
      </c>
    </row>
    <row r="7" customFormat="false" ht="15" hidden="false" customHeight="false" outlineLevel="0" collapsed="false">
      <c r="A7" s="5" t="s">
        <v>242</v>
      </c>
      <c r="B7" s="5" t="s">
        <v>239</v>
      </c>
      <c r="C7" s="20" t="n">
        <v>2</v>
      </c>
      <c r="D7" s="31" t="n">
        <f aca="false">VALUE(B7)+(C7-1)/4</f>
        <v>2016.25</v>
      </c>
      <c r="E7" s="18" t="n">
        <v>2.955</v>
      </c>
      <c r="F7" s="18" t="n">
        <v>4.213</v>
      </c>
      <c r="G7" s="35"/>
      <c r="H7" s="18" t="n">
        <v>7.462</v>
      </c>
      <c r="I7" s="18" t="n">
        <v>4.489</v>
      </c>
      <c r="J7" s="18" t="n">
        <v>8.564</v>
      </c>
      <c r="K7" s="35"/>
      <c r="L7" s="18" t="n">
        <v>4.493</v>
      </c>
      <c r="M7" s="5" t="s">
        <v>243</v>
      </c>
      <c r="N7" s="36" t="s">
        <v>244</v>
      </c>
    </row>
    <row r="8" customFormat="false" ht="15" hidden="false" customHeight="false" outlineLevel="0" collapsed="false">
      <c r="A8" s="5" t="s">
        <v>245</v>
      </c>
      <c r="B8" s="5" t="s">
        <v>239</v>
      </c>
      <c r="C8" s="20" t="n">
        <v>3</v>
      </c>
      <c r="D8" s="31" t="n">
        <f aca="false">VALUE(B8)+(C8-1)/4</f>
        <v>2016.5</v>
      </c>
      <c r="E8" s="18" t="n">
        <v>3.331</v>
      </c>
      <c r="F8" s="18" t="n">
        <v>4.964</v>
      </c>
      <c r="G8" s="35"/>
      <c r="H8" s="18" t="n">
        <v>8.163</v>
      </c>
      <c r="I8" s="18" t="n">
        <v>4.954</v>
      </c>
      <c r="J8" s="18" t="n">
        <v>9.478</v>
      </c>
      <c r="K8" s="35"/>
      <c r="L8" s="18" t="n">
        <v>4.754</v>
      </c>
      <c r="M8" s="5" t="s">
        <v>246</v>
      </c>
      <c r="N8" s="36" t="s">
        <v>247</v>
      </c>
    </row>
    <row r="9" customFormat="false" ht="15" hidden="false" customHeight="false" outlineLevel="0" collapsed="false">
      <c r="A9" s="5" t="s">
        <v>248</v>
      </c>
      <c r="B9" s="5" t="s">
        <v>239</v>
      </c>
      <c r="C9" s="20" t="n">
        <v>4</v>
      </c>
      <c r="D9" s="31" t="n">
        <f aca="false">VALUE(B9)+(C9-1)/4</f>
        <v>2016.75</v>
      </c>
      <c r="E9" s="18" t="n">
        <v>3.726</v>
      </c>
      <c r="F9" s="18" t="n">
        <v>5.126</v>
      </c>
      <c r="G9" s="35"/>
      <c r="H9" s="18" t="n">
        <v>8.531</v>
      </c>
      <c r="I9" s="18" t="n">
        <v>5.222</v>
      </c>
      <c r="J9" s="18" t="n">
        <v>9.8</v>
      </c>
      <c r="K9" s="35"/>
      <c r="L9" s="18" t="n">
        <v>4.821</v>
      </c>
      <c r="M9" s="5" t="s">
        <v>249</v>
      </c>
      <c r="N9" s="36" t="s">
        <v>250</v>
      </c>
    </row>
    <row r="10" customFormat="false" ht="15" hidden="false" customHeight="false" outlineLevel="0" collapsed="false">
      <c r="A10" s="5" t="s">
        <v>251</v>
      </c>
      <c r="B10" s="5" t="s">
        <v>252</v>
      </c>
      <c r="C10" s="20" t="n">
        <v>1</v>
      </c>
      <c r="D10" s="31" t="n">
        <f aca="false">VALUE(B10)+(C10-1)/4</f>
        <v>2017</v>
      </c>
      <c r="E10" s="18" t="n">
        <v>4.002</v>
      </c>
      <c r="F10" s="18" t="n">
        <v>5.498</v>
      </c>
      <c r="G10" s="35"/>
      <c r="H10" s="18" t="n">
        <v>9.118</v>
      </c>
      <c r="I10" s="18" t="n">
        <v>5.472</v>
      </c>
      <c r="J10" s="18" t="n">
        <v>10.268</v>
      </c>
      <c r="K10" s="35"/>
      <c r="L10" s="18" t="n">
        <v>4.987</v>
      </c>
      <c r="M10" s="5" t="s">
        <v>253</v>
      </c>
      <c r="N10" s="36" t="s">
        <v>254</v>
      </c>
    </row>
    <row r="11" customFormat="false" ht="15" hidden="false" customHeight="false" outlineLevel="0" collapsed="false">
      <c r="A11" s="5" t="s">
        <v>255</v>
      </c>
      <c r="B11" s="5" t="s">
        <v>252</v>
      </c>
      <c r="C11" s="20" t="n">
        <v>2</v>
      </c>
      <c r="D11" s="31" t="n">
        <f aca="false">VALUE(B11)+(C11-1)/4</f>
        <v>2017.25</v>
      </c>
      <c r="E11" s="18" t="n">
        <v>4.064</v>
      </c>
      <c r="F11" s="18" t="n">
        <v>5.568</v>
      </c>
      <c r="G11" s="35"/>
      <c r="H11" s="18" t="n">
        <v>9.034</v>
      </c>
      <c r="I11" s="18" t="n">
        <v>5.568</v>
      </c>
      <c r="J11" s="18" t="n">
        <v>10.614</v>
      </c>
      <c r="K11" s="35"/>
      <c r="L11" s="18" t="n">
        <v>4.99</v>
      </c>
      <c r="M11" s="5" t="s">
        <v>256</v>
      </c>
      <c r="N11" s="36" t="s">
        <v>257</v>
      </c>
    </row>
    <row r="12" customFormat="false" ht="15" hidden="false" customHeight="false" outlineLevel="0" collapsed="false">
      <c r="A12" s="5" t="s">
        <v>258</v>
      </c>
      <c r="B12" s="5" t="s">
        <v>252</v>
      </c>
      <c r="C12" s="20" t="n">
        <v>3</v>
      </c>
      <c r="D12" s="31" t="n">
        <f aca="false">VALUE(B12)+(C12-1)/4</f>
        <v>2017.5</v>
      </c>
      <c r="E12" s="18" t="n">
        <v>4.348</v>
      </c>
      <c r="F12" s="18" t="n">
        <v>6.033</v>
      </c>
      <c r="G12" s="35"/>
      <c r="H12" s="18" t="n">
        <v>10.852</v>
      </c>
      <c r="I12" s="18" t="n">
        <v>6.004</v>
      </c>
      <c r="J12" s="18" t="n">
        <v>11.53</v>
      </c>
      <c r="K12" s="35"/>
      <c r="L12" s="18" t="n">
        <v>5.402</v>
      </c>
      <c r="M12" s="5" t="s">
        <v>259</v>
      </c>
      <c r="N12" s="36" t="s">
        <v>260</v>
      </c>
    </row>
    <row r="13" customFormat="false" ht="15" hidden="false" customHeight="false" outlineLevel="0" collapsed="false">
      <c r="A13" s="5" t="s">
        <v>261</v>
      </c>
      <c r="B13" s="5" t="s">
        <v>252</v>
      </c>
      <c r="C13" s="20" t="n">
        <v>4</v>
      </c>
      <c r="D13" s="31" t="n">
        <f aca="false">VALUE(B13)+(C13-1)/4</f>
        <v>2017.75</v>
      </c>
      <c r="E13" s="18" t="n">
        <v>4.337</v>
      </c>
      <c r="F13" s="18" t="n">
        <v>6.093</v>
      </c>
      <c r="G13" s="35"/>
      <c r="H13" s="18" t="n">
        <v>11.279</v>
      </c>
      <c r="I13" s="18" t="n">
        <v>6.362</v>
      </c>
      <c r="J13" s="18" t="n">
        <v>12.26</v>
      </c>
      <c r="K13" s="35"/>
      <c r="L13" s="18" t="n">
        <v>5.592</v>
      </c>
      <c r="M13" s="5" t="s">
        <v>262</v>
      </c>
      <c r="N13" s="36" t="s">
        <v>263</v>
      </c>
    </row>
    <row r="14" customFormat="false" ht="15" hidden="false" customHeight="false" outlineLevel="0" collapsed="false">
      <c r="A14" s="5" t="s">
        <v>264</v>
      </c>
      <c r="B14" s="5" t="s">
        <v>265</v>
      </c>
      <c r="C14" s="20" t="n">
        <v>1</v>
      </c>
      <c r="D14" s="31" t="n">
        <f aca="false">VALUE(B14)+(C14-1)/4</f>
        <v>2018</v>
      </c>
      <c r="E14" s="18" t="n">
        <v>4.346</v>
      </c>
      <c r="F14" s="18" t="n">
        <v>5.985</v>
      </c>
      <c r="G14" s="35"/>
      <c r="H14" s="18" t="n">
        <v>11.931</v>
      </c>
      <c r="I14" s="18" t="n">
        <v>6.694</v>
      </c>
      <c r="J14" s="18" t="n">
        <v>12.963</v>
      </c>
      <c r="K14" s="35"/>
      <c r="L14" s="18" t="n">
        <v>5.945</v>
      </c>
      <c r="M14" s="5" t="s">
        <v>266</v>
      </c>
      <c r="N14" s="36" t="s">
        <v>267</v>
      </c>
    </row>
    <row r="15" customFormat="false" ht="15" hidden="false" customHeight="false" outlineLevel="0" collapsed="false">
      <c r="A15" s="5" t="s">
        <v>268</v>
      </c>
      <c r="B15" s="5" t="s">
        <v>265</v>
      </c>
      <c r="C15" s="20" t="n">
        <v>2</v>
      </c>
      <c r="D15" s="31" t="n">
        <f aca="false">VALUE(B15)+(C15-1)/4</f>
        <v>2018.25</v>
      </c>
      <c r="E15" s="18" t="n">
        <v>4.537</v>
      </c>
      <c r="F15" s="18" t="n">
        <v>6.672</v>
      </c>
      <c r="G15" s="35"/>
      <c r="H15" s="18" t="n">
        <v>12.05</v>
      </c>
      <c r="I15" s="18" t="n">
        <v>6.638</v>
      </c>
      <c r="J15" s="18" t="n">
        <v>12.909</v>
      </c>
      <c r="K15" s="35"/>
      <c r="L15" s="18" t="n">
        <v>4.837</v>
      </c>
      <c r="M15" s="5" t="s">
        <v>269</v>
      </c>
      <c r="N15" s="36" t="s">
        <v>270</v>
      </c>
    </row>
    <row r="16" customFormat="false" ht="15" hidden="false" customHeight="false" outlineLevel="0" collapsed="false">
      <c r="A16" s="5" t="s">
        <v>271</v>
      </c>
      <c r="B16" s="5" t="s">
        <v>265</v>
      </c>
      <c r="C16" s="20" t="n">
        <v>3</v>
      </c>
      <c r="D16" s="31" t="n">
        <f aca="false">VALUE(B16)+(C16-1)/4</f>
        <v>2018.5</v>
      </c>
      <c r="E16" s="18" t="n">
        <v>4.805</v>
      </c>
      <c r="F16" s="18" t="n">
        <v>6.965</v>
      </c>
      <c r="G16" s="35"/>
      <c r="H16" s="18" t="n">
        <v>13.177</v>
      </c>
      <c r="I16" s="18" t="n">
        <v>7.001</v>
      </c>
      <c r="J16" s="18" t="n">
        <v>13.51</v>
      </c>
      <c r="K16" s="35"/>
      <c r="L16" s="18" t="n">
        <v>4.177</v>
      </c>
      <c r="M16" s="5" t="s">
        <v>272</v>
      </c>
      <c r="N16" s="36" t="s">
        <v>273</v>
      </c>
    </row>
    <row r="17" customFormat="false" ht="15" hidden="false" customHeight="false" outlineLevel="0" collapsed="false">
      <c r="A17" s="5" t="s">
        <v>274</v>
      </c>
      <c r="B17" s="5" t="s">
        <v>265</v>
      </c>
      <c r="C17" s="20" t="n">
        <v>4</v>
      </c>
      <c r="D17" s="31" t="n">
        <f aca="false">VALUE(B17)+(C17-1)/4</f>
        <v>2018.75</v>
      </c>
      <c r="E17" s="18" t="n">
        <v>4.717</v>
      </c>
      <c r="F17" s="18" t="n">
        <v>6.942</v>
      </c>
      <c r="G17" s="35"/>
      <c r="H17" s="18" t="n">
        <v>13.051</v>
      </c>
      <c r="I17" s="18" t="n">
        <v>6.773</v>
      </c>
      <c r="J17" s="18" t="n">
        <v>13.321</v>
      </c>
      <c r="K17" s="35"/>
      <c r="L17" s="18" t="n">
        <v>4.314</v>
      </c>
      <c r="M17" s="5" t="s">
        <v>275</v>
      </c>
      <c r="N17" s="36" t="s">
        <v>276</v>
      </c>
    </row>
    <row r="18" customFormat="false" ht="15" hidden="false" customHeight="false" outlineLevel="0" collapsed="false">
      <c r="A18" s="5" t="s">
        <v>277</v>
      </c>
      <c r="B18" s="5" t="s">
        <v>278</v>
      </c>
      <c r="C18" s="20" t="n">
        <v>1</v>
      </c>
      <c r="D18" s="31" t="n">
        <f aca="false">VALUE(B18)+(C18-1)/4</f>
        <v>2019</v>
      </c>
      <c r="E18" s="18" t="n">
        <v>4.872</v>
      </c>
      <c r="F18" s="18" t="n">
        <v>6.928</v>
      </c>
      <c r="G18" s="35"/>
      <c r="H18" s="18" t="n">
        <v>12.993</v>
      </c>
      <c r="I18" s="18" t="n">
        <v>6.6</v>
      </c>
      <c r="J18" s="18" t="n">
        <v>12.863</v>
      </c>
      <c r="K18" s="35"/>
      <c r="L18" s="18" t="n">
        <v>4.01</v>
      </c>
      <c r="M18" s="5" t="s">
        <v>279</v>
      </c>
      <c r="N18" s="36" t="s">
        <v>280</v>
      </c>
    </row>
    <row r="19" customFormat="false" ht="15" hidden="false" customHeight="false" outlineLevel="0" collapsed="false">
      <c r="A19" s="5" t="s">
        <v>281</v>
      </c>
      <c r="B19" s="5" t="s">
        <v>278</v>
      </c>
      <c r="C19" s="20" t="n">
        <v>2</v>
      </c>
      <c r="D19" s="31" t="n">
        <f aca="false">VALUE(B19)+(C19-1)/4</f>
        <v>2019.25</v>
      </c>
      <c r="E19" s="18" t="n">
        <v>4.464</v>
      </c>
      <c r="F19" s="18" t="n">
        <v>6.361</v>
      </c>
      <c r="G19" s="35"/>
      <c r="H19" s="18" t="n">
        <v>13.043</v>
      </c>
      <c r="I19" s="18" t="n">
        <v>6.462</v>
      </c>
      <c r="J19" s="18" t="n">
        <v>12.489</v>
      </c>
      <c r="K19" s="35"/>
      <c r="L19" s="18" t="n">
        <v>3.895</v>
      </c>
      <c r="M19" s="5" t="s">
        <v>282</v>
      </c>
      <c r="N19" s="36" t="s">
        <v>283</v>
      </c>
    </row>
    <row r="20" customFormat="false" ht="15" hidden="false" customHeight="false" outlineLevel="0" collapsed="false">
      <c r="A20" s="5" t="s">
        <v>284</v>
      </c>
      <c r="B20" s="5" t="s">
        <v>278</v>
      </c>
      <c r="C20" s="20" t="n">
        <v>3</v>
      </c>
      <c r="D20" s="31" t="n">
        <f aca="false">VALUE(B20)+(C20-1)/4</f>
        <v>2019.5</v>
      </c>
      <c r="E20" s="18" t="n">
        <v>4.489</v>
      </c>
      <c r="F20" s="18" t="n">
        <v>6.169</v>
      </c>
      <c r="G20" s="35"/>
      <c r="H20" s="18" t="n">
        <v>13.04</v>
      </c>
      <c r="I20" s="18" t="n">
        <v>6.238</v>
      </c>
      <c r="J20" s="18" t="n">
        <v>12.016</v>
      </c>
      <c r="K20" s="35"/>
      <c r="L20" s="18" t="n">
        <v>3.661</v>
      </c>
      <c r="M20" s="5" t="s">
        <v>285</v>
      </c>
      <c r="N20" s="36" t="s">
        <v>286</v>
      </c>
    </row>
    <row r="21" customFormat="false" ht="15" hidden="false" customHeight="false" outlineLevel="0" collapsed="false">
      <c r="A21" s="5" t="s">
        <v>287</v>
      </c>
      <c r="B21" s="5" t="s">
        <v>278</v>
      </c>
      <c r="C21" s="20" t="n">
        <v>4</v>
      </c>
      <c r="D21" s="31" t="n">
        <f aca="false">VALUE(B21)+(C21-1)/4</f>
        <v>2019.75</v>
      </c>
      <c r="E21" s="18" t="n">
        <v>4.487</v>
      </c>
      <c r="F21" s="18" t="n">
        <v>6.119</v>
      </c>
      <c r="G21" s="35"/>
      <c r="H21" s="18" t="n">
        <v>12.901</v>
      </c>
      <c r="I21" s="18" t="n">
        <v>6.245</v>
      </c>
      <c r="J21" s="18" t="n">
        <v>11.934</v>
      </c>
      <c r="K21" s="35"/>
      <c r="L21" s="18" t="n">
        <v>3.697</v>
      </c>
      <c r="M21" s="5" t="s">
        <v>288</v>
      </c>
      <c r="N21" s="36" t="s">
        <v>289</v>
      </c>
    </row>
    <row r="22" customFormat="false" ht="15" hidden="false" customHeight="false" outlineLevel="0" collapsed="false">
      <c r="A22" s="5" t="s">
        <v>290</v>
      </c>
      <c r="B22" s="5" t="s">
        <v>291</v>
      </c>
      <c r="C22" s="20" t="n">
        <v>1</v>
      </c>
      <c r="D22" s="31" t="n">
        <f aca="false">VALUE(B22)+(C22-1)/4</f>
        <v>2020</v>
      </c>
      <c r="E22" s="18" t="n">
        <v>4.582</v>
      </c>
      <c r="F22" s="18" t="n">
        <v>6.317</v>
      </c>
      <c r="G22" s="35"/>
      <c r="H22" s="18" t="n">
        <v>13.05</v>
      </c>
      <c r="I22" s="18" t="n">
        <v>6.287</v>
      </c>
      <c r="J22" s="18" t="n">
        <v>11.895</v>
      </c>
      <c r="K22" s="35"/>
      <c r="L22" s="18" t="n">
        <v>3.611</v>
      </c>
      <c r="M22" s="5" t="s">
        <v>292</v>
      </c>
      <c r="N22" s="36" t="s">
        <v>293</v>
      </c>
    </row>
    <row r="23" customFormat="false" ht="15" hidden="false" customHeight="false" outlineLevel="0" collapsed="false">
      <c r="A23" s="5" t="s">
        <v>294</v>
      </c>
      <c r="B23" s="5" t="s">
        <v>291</v>
      </c>
      <c r="C23" s="20" t="n">
        <v>2</v>
      </c>
      <c r="D23" s="31" t="n">
        <f aca="false">VALUE(B23)+(C23-1)/4</f>
        <v>2020.25</v>
      </c>
      <c r="E23" s="18" t="n">
        <v>4.478</v>
      </c>
      <c r="F23" s="18" t="n">
        <v>6.392</v>
      </c>
      <c r="G23" s="35"/>
      <c r="H23" s="18" t="n">
        <v>12.896</v>
      </c>
      <c r="I23" s="18" t="n">
        <v>6.047</v>
      </c>
      <c r="J23" s="18" t="n">
        <v>11.63</v>
      </c>
      <c r="K23" s="35"/>
      <c r="L23" s="18" t="n">
        <v>3.439</v>
      </c>
      <c r="M23" s="5" t="s">
        <v>295</v>
      </c>
      <c r="N23" s="36" t="s">
        <v>296</v>
      </c>
    </row>
    <row r="24" customFormat="false" ht="15" hidden="false" customHeight="false" outlineLevel="0" collapsed="false">
      <c r="A24" s="5" t="s">
        <v>297</v>
      </c>
      <c r="B24" s="5" t="s">
        <v>291</v>
      </c>
      <c r="C24" s="20" t="n">
        <v>3</v>
      </c>
      <c r="D24" s="31" t="n">
        <f aca="false">VALUE(B24)+(C24-1)/4</f>
        <v>2020.5</v>
      </c>
      <c r="E24" s="18" t="n">
        <v>4.516</v>
      </c>
      <c r="F24" s="18" t="n">
        <v>6.716</v>
      </c>
      <c r="G24" s="35"/>
      <c r="H24" s="18" t="n">
        <v>14.142</v>
      </c>
      <c r="I24" s="18" t="n">
        <v>6.093</v>
      </c>
      <c r="J24" s="18" t="n">
        <v>11.698</v>
      </c>
      <c r="K24" s="35"/>
      <c r="L24" s="18" t="n">
        <v>3.614</v>
      </c>
      <c r="M24" s="5" t="s">
        <v>298</v>
      </c>
      <c r="N24" s="36" t="s">
        <v>299</v>
      </c>
    </row>
    <row r="25" customFormat="false" ht="15" hidden="false" customHeight="false" outlineLevel="0" collapsed="false">
      <c r="A25" s="5" t="s">
        <v>300</v>
      </c>
      <c r="B25" s="5" t="s">
        <v>291</v>
      </c>
      <c r="C25" s="20" t="n">
        <v>4</v>
      </c>
      <c r="D25" s="31" t="n">
        <f aca="false">VALUE(B25)+(C25-1)/4</f>
        <v>2020.75</v>
      </c>
      <c r="E25" s="18" t="n">
        <v>4.171</v>
      </c>
      <c r="F25" s="18" t="n">
        <v>5.636</v>
      </c>
      <c r="G25" s="35"/>
      <c r="H25" s="18" t="n">
        <v>14.151</v>
      </c>
      <c r="I25" s="18" t="n">
        <v>5.88</v>
      </c>
      <c r="J25" s="18" t="n">
        <v>11.193</v>
      </c>
      <c r="K25" s="35"/>
      <c r="L25" s="18" t="n">
        <v>3.462</v>
      </c>
      <c r="M25" s="5" t="s">
        <v>301</v>
      </c>
      <c r="N25" s="36" t="s">
        <v>302</v>
      </c>
    </row>
    <row r="26" customFormat="false" ht="15" hidden="false" customHeight="false" outlineLevel="0" collapsed="false">
      <c r="A26" s="5" t="s">
        <v>303</v>
      </c>
      <c r="B26" s="5" t="s">
        <v>304</v>
      </c>
      <c r="C26" s="20" t="n">
        <v>1</v>
      </c>
      <c r="D26" s="31" t="n">
        <f aca="false">VALUE(B26)+(C26-1)/4</f>
        <v>2021</v>
      </c>
      <c r="E26" s="18" t="n">
        <v>4.377</v>
      </c>
      <c r="F26" s="18" t="n">
        <v>5.491</v>
      </c>
      <c r="G26" s="35"/>
      <c r="H26" s="18" t="n">
        <v>14.154</v>
      </c>
      <c r="I26" s="18" t="n">
        <v>5.804</v>
      </c>
      <c r="J26" s="18" t="n">
        <v>10.755</v>
      </c>
      <c r="K26" s="35"/>
      <c r="L26" s="18" t="n">
        <v>3.346</v>
      </c>
      <c r="M26" s="5" t="s">
        <v>305</v>
      </c>
      <c r="N26" s="36" t="s">
        <v>306</v>
      </c>
    </row>
    <row r="27" customFormat="false" ht="15" hidden="false" customHeight="false" outlineLevel="0" collapsed="false">
      <c r="A27" s="5" t="s">
        <v>307</v>
      </c>
      <c r="B27" s="5" t="s">
        <v>304</v>
      </c>
      <c r="C27" s="20" t="n">
        <v>2</v>
      </c>
      <c r="D27" s="31" t="n">
        <f aca="false">VALUE(B27)+(C27-1)/4</f>
        <v>2021.25</v>
      </c>
      <c r="E27" s="18" t="n">
        <v>4.275</v>
      </c>
      <c r="F27" s="18" t="n">
        <v>5.793</v>
      </c>
      <c r="G27" s="35"/>
      <c r="H27" s="18" t="n">
        <v>14.207</v>
      </c>
      <c r="I27" s="18" t="n">
        <v>5.735</v>
      </c>
      <c r="J27" s="18" t="n">
        <v>10.741</v>
      </c>
      <c r="K27" s="35"/>
      <c r="L27" s="18" t="n">
        <v>3.214</v>
      </c>
      <c r="M27" s="5" t="s">
        <v>308</v>
      </c>
      <c r="N27" s="36" t="s">
        <v>309</v>
      </c>
    </row>
    <row r="28" customFormat="false" ht="15" hidden="false" customHeight="false" outlineLevel="0" collapsed="false">
      <c r="A28" s="5" t="s">
        <v>310</v>
      </c>
      <c r="B28" s="5" t="s">
        <v>304</v>
      </c>
      <c r="C28" s="20" t="n">
        <v>3</v>
      </c>
      <c r="D28" s="31" t="n">
        <f aca="false">VALUE(B28)+(C28-1)/4</f>
        <v>2021.5</v>
      </c>
      <c r="E28" s="18" t="n">
        <v>4.027</v>
      </c>
      <c r="F28" s="18" t="n">
        <v>5.451</v>
      </c>
      <c r="G28" s="35"/>
      <c r="H28" s="18" t="n">
        <v>14.774</v>
      </c>
      <c r="I28" s="18" t="n">
        <v>5.551</v>
      </c>
      <c r="J28" s="18" t="n">
        <v>10.409</v>
      </c>
      <c r="K28" s="35"/>
      <c r="L28" s="18" t="n">
        <v>3.03</v>
      </c>
      <c r="M28" s="5" t="s">
        <v>311</v>
      </c>
      <c r="N28" s="36" t="s">
        <v>312</v>
      </c>
    </row>
    <row r="29" customFormat="false" ht="15" hidden="false" customHeight="false" outlineLevel="0" collapsed="false">
      <c r="A29" s="5" t="s">
        <v>313</v>
      </c>
      <c r="B29" s="5" t="s">
        <v>304</v>
      </c>
      <c r="C29" s="20" t="n">
        <v>4</v>
      </c>
      <c r="D29" s="31" t="n">
        <f aca="false">VALUE(B29)+(C29-1)/4</f>
        <v>2021.75</v>
      </c>
      <c r="E29" s="18" t="n">
        <v>4.108</v>
      </c>
      <c r="F29" s="18" t="n">
        <v>5.565</v>
      </c>
      <c r="G29" s="35"/>
      <c r="H29" s="18" t="n">
        <v>14.811</v>
      </c>
      <c r="I29" s="18" t="n">
        <v>5.625</v>
      </c>
      <c r="J29" s="18" t="n">
        <v>10.676</v>
      </c>
      <c r="K29" s="35"/>
      <c r="L29" s="18" t="n">
        <v>3.165</v>
      </c>
      <c r="M29" s="5" t="s">
        <v>314</v>
      </c>
      <c r="N29" s="36" t="s">
        <v>315</v>
      </c>
    </row>
    <row r="30" customFormat="false" ht="15" hidden="false" customHeight="false" outlineLevel="0" collapsed="false">
      <c r="A30" s="5" t="s">
        <v>316</v>
      </c>
      <c r="B30" s="5" t="s">
        <v>317</v>
      </c>
      <c r="C30" s="20" t="n">
        <v>1</v>
      </c>
      <c r="D30" s="31" t="n">
        <f aca="false">VALUE(B30)+(C30-1)/4</f>
        <v>2022</v>
      </c>
      <c r="E30" s="18" t="n">
        <v>4.221</v>
      </c>
      <c r="F30" s="18" t="n">
        <v>5.89</v>
      </c>
      <c r="G30" s="35"/>
      <c r="H30" s="18" t="n">
        <v>14.761</v>
      </c>
      <c r="I30" s="18" t="n">
        <v>5.698</v>
      </c>
      <c r="J30" s="18" t="n">
        <v>11.822</v>
      </c>
      <c r="K30" s="35"/>
      <c r="L30" s="18" t="n">
        <v>3.584</v>
      </c>
      <c r="M30" s="5" t="s">
        <v>318</v>
      </c>
      <c r="N30" s="36" t="s">
        <v>319</v>
      </c>
    </row>
    <row r="31" customFormat="false" ht="15" hidden="false" customHeight="false" outlineLevel="0" collapsed="false">
      <c r="A31" s="5" t="s">
        <v>320</v>
      </c>
      <c r="B31" s="5" t="s">
        <v>317</v>
      </c>
      <c r="C31" s="20" t="n">
        <v>2</v>
      </c>
      <c r="D31" s="31" t="n">
        <f aca="false">VALUE(B31)+(C31-1)/4</f>
        <v>2022.25</v>
      </c>
      <c r="E31" s="18" t="n">
        <v>4.248</v>
      </c>
      <c r="F31" s="18" t="n">
        <v>6.12</v>
      </c>
      <c r="G31" s="35"/>
      <c r="H31" s="18" t="n">
        <v>14.743</v>
      </c>
      <c r="I31" s="18" t="n">
        <v>5.915</v>
      </c>
      <c r="J31" s="18" t="n">
        <v>10.518</v>
      </c>
      <c r="K31" s="35"/>
      <c r="L31" s="18" t="n">
        <v>3.192</v>
      </c>
      <c r="M31" s="5" t="s">
        <v>321</v>
      </c>
      <c r="N31" s="36" t="s">
        <v>322</v>
      </c>
    </row>
    <row r="32" customFormat="false" ht="15" hidden="false" customHeight="false" outlineLevel="0" collapsed="false">
      <c r="A32" s="5" t="s">
        <v>323</v>
      </c>
      <c r="B32" s="5" t="s">
        <v>317</v>
      </c>
      <c r="C32" s="20" t="n">
        <v>3</v>
      </c>
      <c r="D32" s="31" t="n">
        <f aca="false">VALUE(B32)+(C32-1)/4</f>
        <v>2022.5</v>
      </c>
      <c r="E32" s="18" t="n">
        <v>4.188</v>
      </c>
      <c r="F32" s="18" t="n">
        <v>5.524</v>
      </c>
      <c r="G32" s="35"/>
      <c r="H32" s="18" t="n">
        <v>17.574</v>
      </c>
      <c r="I32" s="18" t="n">
        <v>6.926</v>
      </c>
      <c r="J32" s="18" t="n">
        <v>10.443</v>
      </c>
      <c r="K32" s="35"/>
      <c r="L32" s="18" t="n">
        <v>4.611</v>
      </c>
      <c r="M32" s="5" t="s">
        <v>324</v>
      </c>
      <c r="N32" s="36" t="s">
        <v>325</v>
      </c>
    </row>
    <row r="33" customFormat="false" ht="15" hidden="false" customHeight="false" outlineLevel="0" collapsed="false">
      <c r="A33" s="5" t="s">
        <v>326</v>
      </c>
      <c r="B33" s="5" t="s">
        <v>317</v>
      </c>
      <c r="C33" s="20" t="n">
        <v>4</v>
      </c>
      <c r="D33" s="31" t="n">
        <f aca="false">VALUE(B33)+(C33-1)/4</f>
        <v>2022.75</v>
      </c>
      <c r="E33" s="18" t="n">
        <v>4.277</v>
      </c>
      <c r="F33" s="18" t="n">
        <v>5.742</v>
      </c>
      <c r="G33" s="35"/>
      <c r="H33" s="18" t="n">
        <v>17.874</v>
      </c>
      <c r="I33" s="18" t="n">
        <v>7.452</v>
      </c>
      <c r="J33" s="18" t="n">
        <v>11.591</v>
      </c>
      <c r="K33" s="35"/>
      <c r="L33" s="18" t="n">
        <v>1.491</v>
      </c>
      <c r="M33" s="5" t="s">
        <v>327</v>
      </c>
      <c r="N33" s="36" t="s">
        <v>328</v>
      </c>
    </row>
    <row r="34" customFormat="false" ht="15" hidden="false" customHeight="false" outlineLevel="0" collapsed="false">
      <c r="A34" s="5" t="s">
        <v>329</v>
      </c>
      <c r="B34" s="5" t="s">
        <v>330</v>
      </c>
      <c r="C34" s="20" t="n">
        <v>1</v>
      </c>
      <c r="D34" s="31" t="n">
        <f aca="false">VALUE(B34)+(C34-1)/4</f>
        <v>2023</v>
      </c>
      <c r="E34" s="18" t="n">
        <v>4.079</v>
      </c>
      <c r="F34" s="18" t="n">
        <v>5.949</v>
      </c>
      <c r="G34" s="35"/>
      <c r="H34" s="18" t="n">
        <v>17.881</v>
      </c>
      <c r="I34" s="18" t="n">
        <v>8.055</v>
      </c>
      <c r="J34" s="18" t="n">
        <v>12.217</v>
      </c>
      <c r="K34" s="35"/>
      <c r="L34" s="18" t="n">
        <v>4.611</v>
      </c>
      <c r="M34" s="5" t="s">
        <v>331</v>
      </c>
      <c r="N34" s="36" t="s">
        <v>332</v>
      </c>
    </row>
    <row r="35" customFormat="false" ht="15" hidden="false" customHeight="false" outlineLevel="0" collapsed="false">
      <c r="A35" s="5" t="s">
        <v>333</v>
      </c>
      <c r="B35" s="5" t="s">
        <v>330</v>
      </c>
      <c r="C35" s="20" t="n">
        <v>2</v>
      </c>
      <c r="D35" s="31" t="n">
        <f aca="false">VALUE(B35)+(C35-1)/4</f>
        <v>2023.25</v>
      </c>
      <c r="E35" s="18" t="n">
        <v>4.131</v>
      </c>
      <c r="F35" s="18" t="n">
        <v>5.467</v>
      </c>
      <c r="G35" s="35"/>
      <c r="H35" s="18" t="n">
        <v>17.911</v>
      </c>
      <c r="I35" s="18" t="n">
        <v>8.084</v>
      </c>
      <c r="J35" s="18" t="n">
        <v>12.747</v>
      </c>
      <c r="K35" s="35"/>
      <c r="L35" s="18" t="n">
        <v>4.611</v>
      </c>
      <c r="M35" s="5" t="s">
        <v>334</v>
      </c>
      <c r="N35" s="36" t="s">
        <v>335</v>
      </c>
    </row>
    <row r="36" customFormat="false" ht="15" hidden="false" customHeight="false" outlineLevel="0" collapsed="false">
      <c r="A36" s="5" t="s">
        <v>336</v>
      </c>
      <c r="B36" s="5" t="s">
        <v>330</v>
      </c>
      <c r="C36" s="20" t="n">
        <v>3</v>
      </c>
      <c r="D36" s="31" t="n">
        <f aca="false">VALUE(B36)+(C36-1)/4</f>
        <v>2023.5</v>
      </c>
      <c r="E36" s="18" t="n">
        <v>4.237</v>
      </c>
      <c r="F36" s="18" t="n">
        <v>5.725</v>
      </c>
      <c r="G36" s="35"/>
      <c r="H36" s="18" t="n">
        <v>17.514</v>
      </c>
      <c r="I36" s="18" t="n">
        <v>7.613</v>
      </c>
      <c r="J36" s="18" t="n">
        <v>11.91</v>
      </c>
      <c r="K36" s="35"/>
      <c r="L36" s="18" t="n">
        <v>7.167</v>
      </c>
      <c r="M36" s="5" t="s">
        <v>337</v>
      </c>
      <c r="N36" s="36" t="s">
        <v>338</v>
      </c>
    </row>
    <row r="37" customFormat="false" ht="15" hidden="false" customHeight="false" outlineLevel="0" collapsed="false">
      <c r="A37" s="5" t="s">
        <v>339</v>
      </c>
      <c r="B37" s="5" t="s">
        <v>330</v>
      </c>
      <c r="C37" s="20" t="n">
        <v>4</v>
      </c>
      <c r="D37" s="31" t="n">
        <f aca="false">VALUE(B37)+(C37-1)/4</f>
        <v>2023.75</v>
      </c>
      <c r="E37" s="18" t="n">
        <v>3.433</v>
      </c>
      <c r="F37" s="18" t="n">
        <v>4.985</v>
      </c>
      <c r="G37" s="35"/>
      <c r="H37" s="18" t="n">
        <v>17.672</v>
      </c>
      <c r="I37" s="18" t="n">
        <v>7.202</v>
      </c>
      <c r="J37" s="18" t="n">
        <v>10.757</v>
      </c>
      <c r="K37" s="35"/>
      <c r="L37" s="18" t="n">
        <v>7.099</v>
      </c>
      <c r="M37" s="5" t="s">
        <v>340</v>
      </c>
      <c r="N37" s="36" t="s">
        <v>341</v>
      </c>
    </row>
    <row r="38" customFormat="false" ht="15" hidden="false" customHeight="false" outlineLevel="0" collapsed="false">
      <c r="A38" s="5" t="s">
        <v>342</v>
      </c>
      <c r="B38" s="5" t="s">
        <v>343</v>
      </c>
      <c r="C38" s="20" t="n">
        <v>1</v>
      </c>
      <c r="D38" s="31" t="n">
        <f aca="false">VALUE(B38)+(C38-1)/4</f>
        <v>2024</v>
      </c>
      <c r="E38" s="18" t="n">
        <v>4.188</v>
      </c>
      <c r="F38" s="18" t="n">
        <v>5.882</v>
      </c>
      <c r="G38" s="35"/>
      <c r="H38" s="18" t="n">
        <v>17.845</v>
      </c>
      <c r="I38" s="18" t="n">
        <v>6.419</v>
      </c>
      <c r="J38" s="18" t="n">
        <v>9.803</v>
      </c>
      <c r="K38" s="35"/>
      <c r="L38" s="18" t="n">
        <v>7.038</v>
      </c>
      <c r="M38" s="5" t="s">
        <v>344</v>
      </c>
      <c r="N38" s="36" t="s">
        <v>345</v>
      </c>
    </row>
    <row r="39" customFormat="false" ht="15" hidden="false" customHeight="false" outlineLevel="0" collapsed="false">
      <c r="A39" s="5" t="s">
        <v>346</v>
      </c>
      <c r="B39" s="5" t="s">
        <v>343</v>
      </c>
      <c r="C39" s="20" t="n">
        <v>2</v>
      </c>
      <c r="D39" s="31" t="n">
        <f aca="false">VALUE(B39)+(C39-1)/4</f>
        <v>2024.25</v>
      </c>
      <c r="E39" s="35"/>
      <c r="F39" s="35"/>
      <c r="G39" s="18" t="n">
        <v>0.273</v>
      </c>
      <c r="H39" s="18" t="n">
        <v>18.459</v>
      </c>
      <c r="I39" s="35"/>
      <c r="J39" s="35"/>
      <c r="K39" s="18" t="n">
        <v>0.134</v>
      </c>
      <c r="L39" s="35"/>
      <c r="M39" s="5" t="s">
        <v>347</v>
      </c>
      <c r="N39" s="36" t="s">
        <v>348</v>
      </c>
    </row>
    <row r="40" customFormat="false" ht="15" hidden="false" customHeight="false" outlineLevel="0" collapsed="false">
      <c r="A40" s="5" t="s">
        <v>349</v>
      </c>
      <c r="B40" s="5" t="s">
        <v>343</v>
      </c>
      <c r="C40" s="20" t="n">
        <v>3</v>
      </c>
      <c r="D40" s="31" t="n">
        <f aca="false">VALUE(B40)+(C40-1)/4</f>
        <v>2024.5</v>
      </c>
      <c r="E40" s="35"/>
      <c r="F40" s="35"/>
      <c r="G40" s="18" t="n">
        <v>0.295</v>
      </c>
      <c r="H40" s="18" t="n">
        <v>19.853</v>
      </c>
      <c r="I40" s="35"/>
      <c r="J40" s="35"/>
      <c r="K40" s="18" t="n">
        <v>0.138</v>
      </c>
      <c r="L40" s="35"/>
      <c r="M40" s="5" t="s">
        <v>350</v>
      </c>
      <c r="N40" s="36" t="s">
        <v>351</v>
      </c>
    </row>
    <row r="41" customFormat="false" ht="15" hidden="false" customHeight="false" outlineLevel="0" collapsed="false">
      <c r="A41" s="5" t="s">
        <v>352</v>
      </c>
      <c r="B41" s="5" t="s">
        <v>343</v>
      </c>
      <c r="C41" s="20" t="n">
        <v>4</v>
      </c>
      <c r="D41" s="31" t="n">
        <f aca="false">VALUE(B41)+(C41-1)/4</f>
        <v>2024.75</v>
      </c>
      <c r="E41" s="35"/>
      <c r="F41" s="35"/>
      <c r="G41" s="18" t="n">
        <v>0.304</v>
      </c>
      <c r="H41" s="18" t="n">
        <v>19.397</v>
      </c>
      <c r="I41" s="35"/>
      <c r="J41" s="35"/>
      <c r="K41" s="18" t="n">
        <v>0.119</v>
      </c>
      <c r="L41" s="35"/>
      <c r="M41" s="5" t="s">
        <v>353</v>
      </c>
      <c r="N41" s="36" t="s">
        <v>354</v>
      </c>
    </row>
    <row r="42" customFormat="false" ht="15" hidden="false" customHeight="false" outlineLevel="0" collapsed="false">
      <c r="A42" s="5" t="s">
        <v>355</v>
      </c>
      <c r="B42" s="5" t="s">
        <v>356</v>
      </c>
      <c r="C42" s="20" t="n">
        <v>1</v>
      </c>
      <c r="D42" s="31" t="n">
        <f aca="false">VALUE(B42)+(C42-1)/4</f>
        <v>2025</v>
      </c>
      <c r="E42" s="35"/>
      <c r="F42" s="35"/>
      <c r="G42" s="18" t="n">
        <v>0.268</v>
      </c>
      <c r="H42" s="18" t="n">
        <v>20.939</v>
      </c>
      <c r="I42" s="35"/>
      <c r="J42" s="35"/>
      <c r="K42" s="18" t="n">
        <v>0.117</v>
      </c>
      <c r="L42" s="35"/>
      <c r="M42" s="5" t="s">
        <v>357</v>
      </c>
      <c r="N42" s="36" t="s">
        <v>358</v>
      </c>
    </row>
    <row r="43" customFormat="false" ht="15" hidden="false" customHeight="false" outlineLevel="0" collapsed="false">
      <c r="A43" s="5" t="s">
        <v>359</v>
      </c>
      <c r="B43" s="5" t="s">
        <v>356</v>
      </c>
      <c r="C43" s="20" t="n">
        <v>2</v>
      </c>
      <c r="D43" s="31" t="n">
        <f aca="false">VALUE(B43)+(C43-1)/4</f>
        <v>2025.25</v>
      </c>
      <c r="E43" s="35"/>
      <c r="F43" s="35"/>
      <c r="G43" s="18" t="n">
        <v>0.251</v>
      </c>
      <c r="H43" s="18" t="n">
        <v>20.58</v>
      </c>
      <c r="I43" s="35"/>
      <c r="J43" s="35"/>
      <c r="K43" s="18" t="n">
        <v>0.11</v>
      </c>
      <c r="L43" s="35"/>
      <c r="M43" s="5" t="s">
        <v>360</v>
      </c>
      <c r="N43" s="36" t="s">
        <v>361</v>
      </c>
    </row>
    <row r="44" customFormat="false" ht="15" hidden="false" customHeight="false" outlineLevel="0" collapsed="false">
      <c r="A44" s="5" t="s">
        <v>362</v>
      </c>
      <c r="B44" s="5" t="s">
        <v>356</v>
      </c>
      <c r="C44" s="20" t="n">
        <v>3</v>
      </c>
      <c r="D44" s="31" t="n">
        <f aca="false">VALUE(B44)+(C44-1)/4</f>
        <v>2025.5</v>
      </c>
      <c r="E44" s="35"/>
      <c r="F44" s="35"/>
      <c r="G44" s="18" t="n">
        <v>0.259</v>
      </c>
      <c r="H44" s="18" t="n">
        <v>21.201</v>
      </c>
      <c r="I44" s="35"/>
      <c r="J44" s="35"/>
      <c r="K44" s="18" t="n">
        <v>0.12</v>
      </c>
      <c r="L44" s="35"/>
      <c r="M44" s="5" t="s">
        <v>363</v>
      </c>
      <c r="N44" s="36" t="s">
        <v>364</v>
      </c>
    </row>
    <row r="45" customFormat="false" ht="15" hidden="false" customHeight="false" outlineLevel="0" collapsed="false">
      <c r="A45" s="5" t="s">
        <v>365</v>
      </c>
      <c r="B45" s="5" t="s">
        <v>356</v>
      </c>
      <c r="C45" s="20" t="n">
        <v>4</v>
      </c>
      <c r="D45" s="31" t="n">
        <f aca="false">VALUE(B45)+(C45-1)/4</f>
        <v>2025.75</v>
      </c>
      <c r="E45" s="35"/>
      <c r="F45" s="35"/>
      <c r="G45" s="18" t="n">
        <v>0.21</v>
      </c>
      <c r="H45" s="18" t="n">
        <v>21.312</v>
      </c>
      <c r="I45" s="35"/>
      <c r="J45" s="35"/>
      <c r="K45" s="18" t="n">
        <v>0.119</v>
      </c>
      <c r="L45" s="35"/>
      <c r="M45" s="5" t="s">
        <v>366</v>
      </c>
      <c r="N45" s="36" t="s">
        <v>367</v>
      </c>
    </row>
    <row r="46" customFormat="false" ht="15" hidden="false" customHeight="false" outlineLevel="0" collapsed="false">
      <c r="A46" s="5" t="s">
        <v>368</v>
      </c>
      <c r="B46" s="5" t="s">
        <v>369</v>
      </c>
      <c r="C46" s="20" t="n">
        <v>1</v>
      </c>
      <c r="D46" s="31" t="n">
        <f aca="false">VALUE(B46)+(C46-1)/4</f>
        <v>2026</v>
      </c>
      <c r="E46" s="35"/>
      <c r="F46" s="35"/>
      <c r="G46" s="18" t="n">
        <v>0.264</v>
      </c>
      <c r="H46" s="18" t="n">
        <v>22.061</v>
      </c>
      <c r="I46" s="35"/>
      <c r="J46" s="35"/>
      <c r="K46" s="18" t="n">
        <v>0.12</v>
      </c>
      <c r="L46" s="35"/>
      <c r="M46" s="5" t="s">
        <v>370</v>
      </c>
      <c r="N46" s="36" t="s">
        <v>371</v>
      </c>
    </row>
    <row r="47" customFormat="false" ht="15" hidden="false" customHeight="false" outlineLevel="0" collapsed="false">
      <c r="A47" s="5" t="s">
        <v>372</v>
      </c>
      <c r="B47" s="5" t="s">
        <v>369</v>
      </c>
      <c r="C47" s="20" t="n">
        <v>2</v>
      </c>
      <c r="D47" s="31" t="n">
        <f aca="false">VALUE(B47)+(C47-1)/4</f>
        <v>2026.25</v>
      </c>
      <c r="E47" s="35"/>
      <c r="F47" s="35"/>
      <c r="G47" s="18" t="n">
        <v>0.241</v>
      </c>
      <c r="H47" s="18" t="n">
        <v>22.141</v>
      </c>
      <c r="I47" s="35"/>
      <c r="J47" s="35"/>
      <c r="K47" s="18" t="n">
        <v>0.112</v>
      </c>
      <c r="L47" s="35"/>
      <c r="M47" s="5" t="s">
        <v>373</v>
      </c>
      <c r="N47" s="36" t="s">
        <v>374</v>
      </c>
    </row>
    <row r="48" customFormat="false" ht="15" hidden="false" customHeight="false" outlineLevel="0" collapsed="false">
      <c r="A48" s="5" t="s">
        <v>375</v>
      </c>
      <c r="B48" s="5" t="s">
        <v>369</v>
      </c>
      <c r="C48" s="20" t="n">
        <v>3</v>
      </c>
      <c r="D48" s="31" t="n">
        <f aca="false">VALUE(B48)+(C48-1)/4</f>
        <v>2026.5</v>
      </c>
      <c r="E48" s="35"/>
      <c r="F48" s="35"/>
      <c r="G48" s="18" t="n">
        <v>0.224</v>
      </c>
      <c r="H48" s="18" t="n">
        <v>23.056</v>
      </c>
      <c r="I48" s="35"/>
      <c r="J48" s="35"/>
      <c r="K48" s="18" t="n">
        <v>0.117</v>
      </c>
      <c r="L48" s="35"/>
      <c r="M48" s="5" t="s">
        <v>376</v>
      </c>
      <c r="N48" s="36" t="s">
        <v>377</v>
      </c>
    </row>
    <row r="49" customFormat="false" ht="15" hidden="false" customHeight="false" outlineLevel="0" collapsed="false">
      <c r="A49" s="5" t="s">
        <v>378</v>
      </c>
      <c r="B49" s="5" t="s">
        <v>369</v>
      </c>
      <c r="C49" s="20" t="n">
        <v>4</v>
      </c>
      <c r="D49" s="31" t="n">
        <f aca="false">VALUE(B49)+(C49-1)/4</f>
        <v>2026.75</v>
      </c>
      <c r="E49" s="35"/>
      <c r="F49" s="35"/>
      <c r="G49" s="18" t="n">
        <v>0.255</v>
      </c>
      <c r="H49" s="18" t="n">
        <v>23.149</v>
      </c>
      <c r="I49" s="35"/>
      <c r="J49" s="35"/>
      <c r="K49" s="18" t="n">
        <v>0.123</v>
      </c>
      <c r="L49" s="35"/>
      <c r="M49" s="5" t="s">
        <v>379</v>
      </c>
      <c r="N49" s="36" t="s">
        <v>380</v>
      </c>
    </row>
  </sheetData>
  <hyperlinks>
    <hyperlink ref="N6" r:id="rId1" display="https://www.cms.gov/Medicare/Medicare-Fee-for-Service-Part-B-Drugs/McrPartBDrugAvgSalesPrice/downloads/2016-January-ASP-Pricing-File.zip"/>
    <hyperlink ref="N7" r:id="rId2" display="https://www.cms.gov/Medicare/Medicare-Fee-for-Service-Part-B-Drugs/McrPartBDrugAvgSalesPrice/downloads/2016-April-ASP-Pricing-File.zip"/>
    <hyperlink ref="N8" r:id="rId3" display="https://www.cms.gov/Medicare/Medicare-Fee-for-Service-Part-B-Drugs/McrPartBDrugAvgSalesPrice/Downloads/2016-July-ASP-Pricing-File.zip"/>
    <hyperlink ref="N9" r:id="rId4" display="https://www.cms.gov/Medicare/Medicare-Fee-for-Service-Part-B-Drugs/McrPartBDrugAvgSalesPrice/Downloads/2016-October-ASP-Pricing-File.zip"/>
    <hyperlink ref="N10" r:id="rId5" display="https://www.cms.gov/Medicare/Medicare-Fee-for-Service-Part-B-Drugs/McrPartBDrugAvgSalesPrice/Downloads/2017-January-ASP-Pricing-Files.zip"/>
    <hyperlink ref="N11" r:id="rId6" display="https://www.cms.gov/Medicare/Medicare-Fee-for-Service-Part-B-Drugs/McrPartBDrugAvgSalesPrice/Downloads/2017-April-ASP-Pricing.zip"/>
    <hyperlink ref="N12" r:id="rId7" display="https://www.cms.gov/Medicare/Medicare-Fee-for-Service-Part-B-Drugs/McrPartBDrugAvgSalesPrice/Downloads/2017-July-ASP-Pricing-File.zip"/>
    <hyperlink ref="N13" r:id="rId8" display="https://www.cms.gov/Medicare/Medicare-Fee-for-Service-Part-B-Drugs/McrPartBDrugAvgSalesPrice/Downloads/2017-October-ASP-Pricing-File.zip"/>
    <hyperlink ref="N14" r:id="rId9" display="https://www.cms.gov/Medicare/Medicare-Fee-for-Service-Part-B-Drugs/McrPartBDrugAvgSalesPrice/Downloads/2018-January-ASP-Pricing-File.zip"/>
    <hyperlink ref="N15" r:id="rId10" display="https://www.cms.gov/Medicare/Medicare-Fee-for-Service-Part-B-Drugs/McrPartBDrugAvgSalesPrice/Downloads/2018-April-ASP-Pricing-File.zip"/>
    <hyperlink ref="N16" r:id="rId11" display="https://www.cms.gov/Medicare/Medicare-Fee-for-Service-Part-B-Drugs/McrPartBDrugAvgSalesPrice/Downloads/2018-July-ASP-Pricing-File.zip"/>
    <hyperlink ref="N17" r:id="rId12" display="https://www.cms.gov/Medicare/Medicare-Fee-for-Service-Part-B-Drugs/McrPartBDrugAvgSalesPrice/Downloads/2018-Oct-ASP-Pricing-File.zip"/>
    <hyperlink ref="N18" r:id="rId13" display="https://www.cms.gov/Medicare/Medicare-Fee-for-Service-Part-B-Drugs/McrPartBDrugAvgSalesPrice/Downloads/2019-January-ASP-Pricing-File.zip"/>
    <hyperlink ref="N19" r:id="rId14" display="https://www.cms.gov/Medicare/Medicare-Fee-for-Service-Part-B-Drugs/McrPartBDrugAvgSalesPrice/downloads/April-2019-ASP-Pricing-File.zip"/>
    <hyperlink ref="N20" r:id="rId15" display="https://www.cms.gov/Medicare/Medicare-Fee-for-Service-Part-B-Drugs/McrPartBDrugAvgSalesPrice/Downloads/2019-July-ASP-Pricing-File.zip"/>
    <hyperlink ref="N21" r:id="rId16" display="https://www.cms.gov/Medicare/Medicare-Fee-for-Service-Part-B-Drugs/McrPartBDrugAvgSalesPrice/downloads/2019-Oct-ASP-Pricing-File.zip"/>
    <hyperlink ref="N22" r:id="rId17" display="https://www.cms.gov/files/zip/january-2020-asp-pricing-file.zip"/>
    <hyperlink ref="N23" r:id="rId18" display="https://www.cms.gov/files/zip/april-2020-asp-pricing-file.zip"/>
    <hyperlink ref="N24" r:id="rId19" display="https://www.cms.gov/files/zip/july-2020-asp-pricing-file-updated-06012020.zip"/>
    <hyperlink ref="N25" r:id="rId20" display="https://www.cms.gov/files/zip/october-2020-asp-pricing-file.zip"/>
    <hyperlink ref="N26" r:id="rId21" display="https://www.cms.gov/files/zip/january-2021-asp-pricing-file.zip"/>
    <hyperlink ref="N27" r:id="rId22" display="https://www.cms.gov/files/zip/april-2021-asp-pricing-file.zip"/>
    <hyperlink ref="N28" r:id="rId23" display="https://www.cms.gov/files/zip/july-2021-asp-pricing-file.zip"/>
    <hyperlink ref="N29" r:id="rId24" display="https://www.cms.gov/files/zip/october-2021-asp-pricing-file.zip"/>
    <hyperlink ref="N30" r:id="rId25" display="https://www.cms.gov/files/zip/january-2022-asp-pricing-file.zip"/>
    <hyperlink ref="N31" r:id="rId26" display="https://www.cms.gov/files/zip/april-2022-asp-pricing-file.zip"/>
    <hyperlink ref="N32" r:id="rId27" display="https://www.cms.gov/files/zip/july-2022-asp-pricing-file.zip"/>
    <hyperlink ref="N33" r:id="rId28" display="https://www.cms.gov/files/zip/october-2022-asp-pricing-file.zip"/>
    <hyperlink ref="N34" r:id="rId29" display="https://www.cms.gov/files/zip/january-2023-asp-pricing-file.zip"/>
    <hyperlink ref="N35" r:id="rId30" display="https://www.cms.gov/files/zip/april-2023-asp-pricing-file.zip"/>
    <hyperlink ref="N36" r:id="rId31" display="https://www.cms.gov/files/zip/july-2023-asp-pricing-file.zip"/>
    <hyperlink ref="N37" r:id="rId32" display="https://www.cms.gov/files/zip/october-2023-asp-pricing-file.zip"/>
    <hyperlink ref="N38" r:id="rId33" display="https://www.cms.gov/files/zip/january-2024-asp-pricing-file.zip"/>
    <hyperlink ref="N39" r:id="rId34" display="https://www.cms.gov/files/zip/april-2024-asp-pricing-file.zip"/>
    <hyperlink ref="N40" r:id="rId35" display="https://www.cms.gov/files/zip/july-2024-asp-pricing-file.zip"/>
    <hyperlink ref="N41" r:id="rId36" display="https://www.cms.gov/files/zip/october-2024-asp-pricing-file.zip"/>
    <hyperlink ref="N42" r:id="rId37" display="https://www.cms.gov/files/zip/january-2025-asp-pricing-file-03/11/25-final-file.zip"/>
    <hyperlink ref="N43" r:id="rId38" display="https://www.cms.gov/files/zip/april-2025-asp-pricing-file.zip"/>
    <hyperlink ref="N44" r:id="rId39" display="https://www.cms.gov/files/zip/july-2025-asp-pricing-file.zip"/>
    <hyperlink ref="N45" r:id="rId40" display="https://www.cms.gov/files/zip/october-2025-asp-pricing-final-file.zip"/>
    <hyperlink ref="N46" r:id="rId41" display="https://www.cms.gov/files/zip/january-2026-medicare-part-b-payment-limit-files.zip"/>
    <hyperlink ref="N47" r:id="rId42" display="https://www.cms.gov/files/zip/april-2026-medicare-part-b-payment-limit-files-final-file.zip"/>
    <hyperlink ref="N48" r:id="rId43" display="https://www.cms.gov/files/zip/july-2026-medicare-part-b-payment-limit-files.zip"/>
    <hyperlink ref="N49" r:id="rId44" display="https://www.cms.gov/files/zip/october-2026-medicare-part-b-payment-limit-files-final.zi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16" min="4" style="0" width="12"/>
  </cols>
  <sheetData>
    <row r="1" customFormat="false" ht="17.35" hidden="false" customHeight="false" outlineLevel="0" collapsed="false">
      <c r="A1" s="1" t="s">
        <v>381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382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42" hidden="false" customHeight="true" outlineLevel="0" collapsed="false">
      <c r="A5" s="10" t="s">
        <v>224</v>
      </c>
      <c r="B5" s="10" t="s">
        <v>225</v>
      </c>
      <c r="C5" s="10" t="s">
        <v>227</v>
      </c>
      <c r="D5" s="10" t="s">
        <v>383</v>
      </c>
      <c r="E5" s="10" t="s">
        <v>194</v>
      </c>
      <c r="F5" s="10" t="s">
        <v>198</v>
      </c>
      <c r="G5" s="10" t="s">
        <v>201</v>
      </c>
      <c r="H5" s="10" t="s">
        <v>203</v>
      </c>
      <c r="I5" s="10" t="s">
        <v>204</v>
      </c>
      <c r="J5" s="10" t="s">
        <v>205</v>
      </c>
      <c r="K5" s="10" t="s">
        <v>208</v>
      </c>
      <c r="L5" s="10" t="s">
        <v>210</v>
      </c>
      <c r="M5" s="10" t="s">
        <v>212</v>
      </c>
      <c r="N5" s="10" t="s">
        <v>214</v>
      </c>
      <c r="O5" s="10" t="s">
        <v>215</v>
      </c>
      <c r="P5" s="10" t="s">
        <v>219</v>
      </c>
    </row>
    <row r="6" customFormat="false" ht="15" hidden="false" customHeight="false" outlineLevel="0" collapsed="false">
      <c r="A6" s="8" t="str">
        <f aca="false">CMS_PL!A6</f>
        <v>2016-Q1</v>
      </c>
      <c r="B6" s="8" t="str">
        <f aca="false">CMS_PL!B6</f>
        <v>2016</v>
      </c>
      <c r="C6" s="37" t="n">
        <f aca="false">CMS_PL!D6</f>
        <v>2016</v>
      </c>
      <c r="D6" s="7" t="str">
        <f aca="false">IF(C6&gt;=Assumptions!$B$8,"New code","Old code")</f>
        <v>Old code</v>
      </c>
      <c r="E6" s="38" t="n">
        <f aca="false">IF($C6&gt;=Assumptions!$B$8,CMS_PL!G6*Assumptions!$E$22,CMS_PL!E6*Assumptions!$C$22)/Assumptions!$B$5</f>
        <v>2.73396226415094</v>
      </c>
      <c r="F6" s="38" t="n">
        <f aca="false">IF($C6&gt;=Assumptions!$B$8,CMS_PL!G6*Assumptions!$E$23,CMS_PL!F6*Assumptions!$C$23)/Assumptions!$B$5</f>
        <v>3.87264150943396</v>
      </c>
      <c r="G6" s="38" t="n">
        <f aca="false">IF($C6&gt;=Assumptions!$B$8,CMS_PL!G6*Assumptions!$E$24,CMS_PL!F6*Assumptions!$C$24)/Assumptions!$B$5</f>
        <v>15.4905660377359</v>
      </c>
      <c r="H6" s="38" t="n">
        <f aca="false">IF($C6&gt;=Assumptions!$B$8,CMS_PL!G6*Assumptions!$E$25,CMS_PL!F6*Assumptions!$C$25)/Assumptions!$B$5</f>
        <v>30.9811320754717</v>
      </c>
      <c r="I6" s="38" t="n">
        <f aca="false">IF($C6&gt;=Assumptions!$B$8,CMS_PL!G6*Assumptions!$E$26,CMS_PL!F6*Assumptions!$C$26)/Assumptions!$B$5</f>
        <v>61.9622641509434</v>
      </c>
      <c r="J6" s="38" t="n">
        <f aca="false">IF($C6&gt;=Assumptions!$B$8,CMS_PL!H6*Assumptions!$E$27,CMS_PL!H6*Assumptions!$C$27)/Assumptions!$B$5</f>
        <v>7.07735849056604</v>
      </c>
      <c r="K6" s="38" t="n">
        <f aca="false">IF($C6&gt;=Assumptions!$B$8,CMS_PL!H6*Assumptions!$E$28,CMS_PL!H6*Assumptions!$C$28)/Assumptions!$B$5</f>
        <v>17.6933962264151</v>
      </c>
      <c r="L6" s="38" t="n">
        <f aca="false">IF($C6&gt;=Assumptions!$B$8,CMS_PL!H6*Assumptions!$E$29,CMS_PL!H6*Assumptions!$C$29)/Assumptions!$B$5</f>
        <v>21.2320754716981</v>
      </c>
      <c r="M6" s="38" t="n">
        <f aca="false">IF($C6&gt;=Assumptions!$B$8,CMS_PL!H6*Assumptions!$E$30,CMS_PL!H6*Assumptions!$C$30)/Assumptions!$B$5</f>
        <v>35.3867924528302</v>
      </c>
      <c r="N6" s="38" t="n">
        <f aca="false">IF($C6&gt;=Assumptions!$B$8,CMS_PL!H6*Assumptions!$E$31,CMS_PL!H6*Assumptions!$C$31)/Assumptions!$B$5</f>
        <v>70.7735849056604</v>
      </c>
      <c r="O6" s="38" t="n">
        <f aca="false">IF($C6&gt;=Assumptions!$B$8,CMS_PL!K6*Assumptions!$E$32,CMS_PL!I6*Assumptions!$C$32)/Assumptions!$B$5</f>
        <v>4.06415094339623</v>
      </c>
      <c r="P6" s="38" t="n">
        <f aca="false">IF($C6&gt;=Assumptions!$B$8,CMS_PL!K6*Assumptions!$E$33,CMS_PL!J6*Assumptions!$C$33)/Assumptions!$B$5</f>
        <v>7.8622641509434</v>
      </c>
    </row>
    <row r="7" customFormat="false" ht="15" hidden="false" customHeight="false" outlineLevel="0" collapsed="false">
      <c r="A7" s="8" t="str">
        <f aca="false">CMS_PL!A7</f>
        <v>2016-Q2</v>
      </c>
      <c r="B7" s="8" t="str">
        <f aca="false">CMS_PL!B7</f>
        <v>2016</v>
      </c>
      <c r="C7" s="37" t="n">
        <f aca="false">CMS_PL!D7</f>
        <v>2016.25</v>
      </c>
      <c r="D7" s="7" t="str">
        <f aca="false">IF(C7&gt;=Assumptions!$B$8,"New code","Old code")</f>
        <v>Old code</v>
      </c>
      <c r="E7" s="38" t="n">
        <f aca="false">IF($C7&gt;=Assumptions!$B$8,CMS_PL!G7*Assumptions!$E$22,CMS_PL!E7*Assumptions!$C$22)/Assumptions!$B$5</f>
        <v>2.7877358490566</v>
      </c>
      <c r="F7" s="38" t="n">
        <f aca="false">IF($C7&gt;=Assumptions!$B$8,CMS_PL!G7*Assumptions!$E$23,CMS_PL!F7*Assumptions!$C$23)/Assumptions!$B$5</f>
        <v>3.97452830188679</v>
      </c>
      <c r="G7" s="38" t="n">
        <f aca="false">IF($C7&gt;=Assumptions!$B$8,CMS_PL!G7*Assumptions!$E$24,CMS_PL!F7*Assumptions!$C$24)/Assumptions!$B$5</f>
        <v>15.8981132075472</v>
      </c>
      <c r="H7" s="38" t="n">
        <f aca="false">IF($C7&gt;=Assumptions!$B$8,CMS_PL!G7*Assumptions!$E$25,CMS_PL!F7*Assumptions!$C$25)/Assumptions!$B$5</f>
        <v>31.7962264150943</v>
      </c>
      <c r="I7" s="38" t="n">
        <f aca="false">IF($C7&gt;=Assumptions!$B$8,CMS_PL!G7*Assumptions!$E$26,CMS_PL!F7*Assumptions!$C$26)/Assumptions!$B$5</f>
        <v>63.5924528301887</v>
      </c>
      <c r="J7" s="38" t="n">
        <f aca="false">IF($C7&gt;=Assumptions!$B$8,CMS_PL!H7*Assumptions!$E$27,CMS_PL!H7*Assumptions!$C$27)/Assumptions!$B$5</f>
        <v>7.03962264150943</v>
      </c>
      <c r="K7" s="38" t="n">
        <f aca="false">IF($C7&gt;=Assumptions!$B$8,CMS_PL!H7*Assumptions!$E$28,CMS_PL!H7*Assumptions!$C$28)/Assumptions!$B$5</f>
        <v>17.5990566037736</v>
      </c>
      <c r="L7" s="38" t="n">
        <f aca="false">IF($C7&gt;=Assumptions!$B$8,CMS_PL!H7*Assumptions!$E$29,CMS_PL!H7*Assumptions!$C$29)/Assumptions!$B$5</f>
        <v>21.1188679245283</v>
      </c>
      <c r="M7" s="38" t="n">
        <f aca="false">IF($C7&gt;=Assumptions!$B$8,CMS_PL!H7*Assumptions!$E$30,CMS_PL!H7*Assumptions!$C$30)/Assumptions!$B$5</f>
        <v>35.1981132075472</v>
      </c>
      <c r="N7" s="38" t="n">
        <f aca="false">IF($C7&gt;=Assumptions!$B$8,CMS_PL!H7*Assumptions!$E$31,CMS_PL!H7*Assumptions!$C$31)/Assumptions!$B$5</f>
        <v>70.3962264150944</v>
      </c>
      <c r="O7" s="38" t="n">
        <f aca="false">IF($C7&gt;=Assumptions!$B$8,CMS_PL!K7*Assumptions!$E$32,CMS_PL!I7*Assumptions!$C$32)/Assumptions!$B$5</f>
        <v>4.23490566037736</v>
      </c>
      <c r="P7" s="38" t="n">
        <f aca="false">IF($C7&gt;=Assumptions!$B$8,CMS_PL!K7*Assumptions!$E$33,CMS_PL!J7*Assumptions!$C$33)/Assumptions!$B$5</f>
        <v>8.07924528301887</v>
      </c>
    </row>
    <row r="8" customFormat="false" ht="15" hidden="false" customHeight="false" outlineLevel="0" collapsed="false">
      <c r="A8" s="8" t="str">
        <f aca="false">CMS_PL!A8</f>
        <v>2016-Q3</v>
      </c>
      <c r="B8" s="8" t="str">
        <f aca="false">CMS_PL!B8</f>
        <v>2016</v>
      </c>
      <c r="C8" s="37" t="n">
        <f aca="false">CMS_PL!D8</f>
        <v>2016.5</v>
      </c>
      <c r="D8" s="7" t="str">
        <f aca="false">IF(C8&gt;=Assumptions!$B$8,"New code","Old code")</f>
        <v>Old code</v>
      </c>
      <c r="E8" s="38" t="n">
        <f aca="false">IF($C8&gt;=Assumptions!$B$8,CMS_PL!G8*Assumptions!$E$22,CMS_PL!E8*Assumptions!$C$22)/Assumptions!$B$5</f>
        <v>3.14245283018868</v>
      </c>
      <c r="F8" s="38" t="n">
        <f aca="false">IF($C8&gt;=Assumptions!$B$8,CMS_PL!G8*Assumptions!$E$23,CMS_PL!F8*Assumptions!$C$23)/Assumptions!$B$5</f>
        <v>4.68301886792453</v>
      </c>
      <c r="G8" s="38" t="n">
        <f aca="false">IF($C8&gt;=Assumptions!$B$8,CMS_PL!G8*Assumptions!$E$24,CMS_PL!F8*Assumptions!$C$24)/Assumptions!$B$5</f>
        <v>18.7320754716981</v>
      </c>
      <c r="H8" s="38" t="n">
        <f aca="false">IF($C8&gt;=Assumptions!$B$8,CMS_PL!G8*Assumptions!$E$25,CMS_PL!F8*Assumptions!$C$25)/Assumptions!$B$5</f>
        <v>37.4641509433962</v>
      </c>
      <c r="I8" s="38" t="n">
        <f aca="false">IF($C8&gt;=Assumptions!$B$8,CMS_PL!G8*Assumptions!$E$26,CMS_PL!F8*Assumptions!$C$26)/Assumptions!$B$5</f>
        <v>74.9283018867925</v>
      </c>
      <c r="J8" s="38" t="n">
        <f aca="false">IF($C8&gt;=Assumptions!$B$8,CMS_PL!H8*Assumptions!$E$27,CMS_PL!H8*Assumptions!$C$27)/Assumptions!$B$5</f>
        <v>7.70094339622642</v>
      </c>
      <c r="K8" s="38" t="n">
        <f aca="false">IF($C8&gt;=Assumptions!$B$8,CMS_PL!H8*Assumptions!$E$28,CMS_PL!H8*Assumptions!$C$28)/Assumptions!$B$5</f>
        <v>19.252358490566</v>
      </c>
      <c r="L8" s="38" t="n">
        <f aca="false">IF($C8&gt;=Assumptions!$B$8,CMS_PL!H8*Assumptions!$E$29,CMS_PL!H8*Assumptions!$C$29)/Assumptions!$B$5</f>
        <v>23.1028301886792</v>
      </c>
      <c r="M8" s="38" t="n">
        <f aca="false">IF($C8&gt;=Assumptions!$B$8,CMS_PL!H8*Assumptions!$E$30,CMS_PL!H8*Assumptions!$C$30)/Assumptions!$B$5</f>
        <v>38.5047169811321</v>
      </c>
      <c r="N8" s="38" t="n">
        <f aca="false">IF($C8&gt;=Assumptions!$B$8,CMS_PL!H8*Assumptions!$E$31,CMS_PL!H8*Assumptions!$C$31)/Assumptions!$B$5</f>
        <v>77.0094339622641</v>
      </c>
      <c r="O8" s="38" t="n">
        <f aca="false">IF($C8&gt;=Assumptions!$B$8,CMS_PL!K8*Assumptions!$E$32,CMS_PL!I8*Assumptions!$C$32)/Assumptions!$B$5</f>
        <v>4.67358490566038</v>
      </c>
      <c r="P8" s="38" t="n">
        <f aca="false">IF($C8&gt;=Assumptions!$B$8,CMS_PL!K8*Assumptions!$E$33,CMS_PL!J8*Assumptions!$C$33)/Assumptions!$B$5</f>
        <v>8.94150943396226</v>
      </c>
    </row>
    <row r="9" customFormat="false" ht="15" hidden="false" customHeight="false" outlineLevel="0" collapsed="false">
      <c r="A9" s="8" t="str">
        <f aca="false">CMS_PL!A9</f>
        <v>2016-Q4</v>
      </c>
      <c r="B9" s="8" t="str">
        <f aca="false">CMS_PL!B9</f>
        <v>2016</v>
      </c>
      <c r="C9" s="37" t="n">
        <f aca="false">CMS_PL!D9</f>
        <v>2016.75</v>
      </c>
      <c r="D9" s="7" t="str">
        <f aca="false">IF(C9&gt;=Assumptions!$B$8,"New code","Old code")</f>
        <v>Old code</v>
      </c>
      <c r="E9" s="38" t="n">
        <f aca="false">IF($C9&gt;=Assumptions!$B$8,CMS_PL!G9*Assumptions!$E$22,CMS_PL!E9*Assumptions!$C$22)/Assumptions!$B$5</f>
        <v>3.51509433962264</v>
      </c>
      <c r="F9" s="38" t="n">
        <f aca="false">IF($C9&gt;=Assumptions!$B$8,CMS_PL!G9*Assumptions!$E$23,CMS_PL!F9*Assumptions!$C$23)/Assumptions!$B$5</f>
        <v>4.83584905660377</v>
      </c>
      <c r="G9" s="38" t="n">
        <f aca="false">IF($C9&gt;=Assumptions!$B$8,CMS_PL!G9*Assumptions!$E$24,CMS_PL!F9*Assumptions!$C$24)/Assumptions!$B$5</f>
        <v>19.3433962264151</v>
      </c>
      <c r="H9" s="38" t="n">
        <f aca="false">IF($C9&gt;=Assumptions!$B$8,CMS_PL!G9*Assumptions!$E$25,CMS_PL!F9*Assumptions!$C$25)/Assumptions!$B$5</f>
        <v>38.6867924528302</v>
      </c>
      <c r="I9" s="38" t="n">
        <f aca="false">IF($C9&gt;=Assumptions!$B$8,CMS_PL!G9*Assumptions!$E$26,CMS_PL!F9*Assumptions!$C$26)/Assumptions!$B$5</f>
        <v>77.3735849056604</v>
      </c>
      <c r="J9" s="38" t="n">
        <f aca="false">IF($C9&gt;=Assumptions!$B$8,CMS_PL!H9*Assumptions!$E$27,CMS_PL!H9*Assumptions!$C$27)/Assumptions!$B$5</f>
        <v>8.04811320754717</v>
      </c>
      <c r="K9" s="38" t="n">
        <f aca="false">IF($C9&gt;=Assumptions!$B$8,CMS_PL!H9*Assumptions!$E$28,CMS_PL!H9*Assumptions!$C$28)/Assumptions!$B$5</f>
        <v>20.1202830188679</v>
      </c>
      <c r="L9" s="38" t="n">
        <f aca="false">IF($C9&gt;=Assumptions!$B$8,CMS_PL!H9*Assumptions!$E$29,CMS_PL!H9*Assumptions!$C$29)/Assumptions!$B$5</f>
        <v>24.1443396226415</v>
      </c>
      <c r="M9" s="38" t="n">
        <f aca="false">IF($C9&gt;=Assumptions!$B$8,CMS_PL!H9*Assumptions!$E$30,CMS_PL!H9*Assumptions!$C$30)/Assumptions!$B$5</f>
        <v>40.2405660377358</v>
      </c>
      <c r="N9" s="38" t="n">
        <f aca="false">IF($C9&gt;=Assumptions!$B$8,CMS_PL!H9*Assumptions!$E$31,CMS_PL!H9*Assumptions!$C$31)/Assumptions!$B$5</f>
        <v>80.4811320754717</v>
      </c>
      <c r="O9" s="38" t="n">
        <f aca="false">IF($C9&gt;=Assumptions!$B$8,CMS_PL!K9*Assumptions!$E$32,CMS_PL!I9*Assumptions!$C$32)/Assumptions!$B$5</f>
        <v>4.92641509433962</v>
      </c>
      <c r="P9" s="38" t="n">
        <f aca="false">IF($C9&gt;=Assumptions!$B$8,CMS_PL!K9*Assumptions!$E$33,CMS_PL!J9*Assumptions!$C$33)/Assumptions!$B$5</f>
        <v>9.24528301886793</v>
      </c>
    </row>
    <row r="10" customFormat="false" ht="15" hidden="false" customHeight="false" outlineLevel="0" collapsed="false">
      <c r="A10" s="8" t="str">
        <f aca="false">CMS_PL!A10</f>
        <v>2017-Q1</v>
      </c>
      <c r="B10" s="8" t="str">
        <f aca="false">CMS_PL!B10</f>
        <v>2017</v>
      </c>
      <c r="C10" s="37" t="n">
        <f aca="false">CMS_PL!D10</f>
        <v>2017</v>
      </c>
      <c r="D10" s="7" t="str">
        <f aca="false">IF(C10&gt;=Assumptions!$B$8,"New code","Old code")</f>
        <v>Old code</v>
      </c>
      <c r="E10" s="38" t="n">
        <f aca="false">IF($C10&gt;=Assumptions!$B$8,CMS_PL!G10*Assumptions!$E$22,CMS_PL!E10*Assumptions!$C$22)/Assumptions!$B$5</f>
        <v>3.77547169811321</v>
      </c>
      <c r="F10" s="38" t="n">
        <f aca="false">IF($C10&gt;=Assumptions!$B$8,CMS_PL!G10*Assumptions!$E$23,CMS_PL!F10*Assumptions!$C$23)/Assumptions!$B$5</f>
        <v>5.18679245283019</v>
      </c>
      <c r="G10" s="38" t="n">
        <f aca="false">IF($C10&gt;=Assumptions!$B$8,CMS_PL!G10*Assumptions!$E$24,CMS_PL!F10*Assumptions!$C$24)/Assumptions!$B$5</f>
        <v>20.7471698113208</v>
      </c>
      <c r="H10" s="38" t="n">
        <f aca="false">IF($C10&gt;=Assumptions!$B$8,CMS_PL!G10*Assumptions!$E$25,CMS_PL!F10*Assumptions!$C$25)/Assumptions!$B$5</f>
        <v>41.4943396226415</v>
      </c>
      <c r="I10" s="38" t="n">
        <f aca="false">IF($C10&gt;=Assumptions!$B$8,CMS_PL!G10*Assumptions!$E$26,CMS_PL!F10*Assumptions!$C$26)/Assumptions!$B$5</f>
        <v>82.988679245283</v>
      </c>
      <c r="J10" s="38" t="n">
        <f aca="false">IF($C10&gt;=Assumptions!$B$8,CMS_PL!H10*Assumptions!$E$27,CMS_PL!H10*Assumptions!$C$27)/Assumptions!$B$5</f>
        <v>8.60188679245283</v>
      </c>
      <c r="K10" s="38" t="n">
        <f aca="false">IF($C10&gt;=Assumptions!$B$8,CMS_PL!H10*Assumptions!$E$28,CMS_PL!H10*Assumptions!$C$28)/Assumptions!$B$5</f>
        <v>21.5047169811321</v>
      </c>
      <c r="L10" s="38" t="n">
        <f aca="false">IF($C10&gt;=Assumptions!$B$8,CMS_PL!H10*Assumptions!$E$29,CMS_PL!H10*Assumptions!$C$29)/Assumptions!$B$5</f>
        <v>25.8056603773585</v>
      </c>
      <c r="M10" s="38" t="n">
        <f aca="false">IF($C10&gt;=Assumptions!$B$8,CMS_PL!H10*Assumptions!$E$30,CMS_PL!H10*Assumptions!$C$30)/Assumptions!$B$5</f>
        <v>43.0094339622642</v>
      </c>
      <c r="N10" s="38" t="n">
        <f aca="false">IF($C10&gt;=Assumptions!$B$8,CMS_PL!H10*Assumptions!$E$31,CMS_PL!H10*Assumptions!$C$31)/Assumptions!$B$5</f>
        <v>86.0188679245283</v>
      </c>
      <c r="O10" s="38" t="n">
        <f aca="false">IF($C10&gt;=Assumptions!$B$8,CMS_PL!K10*Assumptions!$E$32,CMS_PL!I10*Assumptions!$C$32)/Assumptions!$B$5</f>
        <v>5.1622641509434</v>
      </c>
      <c r="P10" s="38" t="n">
        <f aca="false">IF($C10&gt;=Assumptions!$B$8,CMS_PL!K10*Assumptions!$E$33,CMS_PL!J10*Assumptions!$C$33)/Assumptions!$B$5</f>
        <v>9.68679245283019</v>
      </c>
    </row>
    <row r="11" customFormat="false" ht="15" hidden="false" customHeight="false" outlineLevel="0" collapsed="false">
      <c r="A11" s="8" t="str">
        <f aca="false">CMS_PL!A11</f>
        <v>2017-Q2</v>
      </c>
      <c r="B11" s="8" t="str">
        <f aca="false">CMS_PL!B11</f>
        <v>2017</v>
      </c>
      <c r="C11" s="37" t="n">
        <f aca="false">CMS_PL!D11</f>
        <v>2017.25</v>
      </c>
      <c r="D11" s="7" t="str">
        <f aca="false">IF(C11&gt;=Assumptions!$B$8,"New code","Old code")</f>
        <v>Old code</v>
      </c>
      <c r="E11" s="38" t="n">
        <f aca="false">IF($C11&gt;=Assumptions!$B$8,CMS_PL!G11*Assumptions!$E$22,CMS_PL!E11*Assumptions!$C$22)/Assumptions!$B$5</f>
        <v>3.83396226415094</v>
      </c>
      <c r="F11" s="38" t="n">
        <f aca="false">IF($C11&gt;=Assumptions!$B$8,CMS_PL!G11*Assumptions!$E$23,CMS_PL!F11*Assumptions!$C$23)/Assumptions!$B$5</f>
        <v>5.25283018867925</v>
      </c>
      <c r="G11" s="38" t="n">
        <f aca="false">IF($C11&gt;=Assumptions!$B$8,CMS_PL!G11*Assumptions!$E$24,CMS_PL!F11*Assumptions!$C$24)/Assumptions!$B$5</f>
        <v>21.011320754717</v>
      </c>
      <c r="H11" s="38" t="n">
        <f aca="false">IF($C11&gt;=Assumptions!$B$8,CMS_PL!G11*Assumptions!$E$25,CMS_PL!F11*Assumptions!$C$25)/Assumptions!$B$5</f>
        <v>42.022641509434</v>
      </c>
      <c r="I11" s="38" t="n">
        <f aca="false">IF($C11&gt;=Assumptions!$B$8,CMS_PL!G11*Assumptions!$E$26,CMS_PL!F11*Assumptions!$C$26)/Assumptions!$B$5</f>
        <v>84.0452830188679</v>
      </c>
      <c r="J11" s="38" t="n">
        <f aca="false">IF($C11&gt;=Assumptions!$B$8,CMS_PL!H11*Assumptions!$E$27,CMS_PL!H11*Assumptions!$C$27)/Assumptions!$B$5</f>
        <v>8.52264150943396</v>
      </c>
      <c r="K11" s="38" t="n">
        <f aca="false">IF($C11&gt;=Assumptions!$B$8,CMS_PL!H11*Assumptions!$E$28,CMS_PL!H11*Assumptions!$C$28)/Assumptions!$B$5</f>
        <v>21.3066037735849</v>
      </c>
      <c r="L11" s="38" t="n">
        <f aca="false">IF($C11&gt;=Assumptions!$B$8,CMS_PL!H11*Assumptions!$E$29,CMS_PL!H11*Assumptions!$C$29)/Assumptions!$B$5</f>
        <v>25.5679245283019</v>
      </c>
      <c r="M11" s="38" t="n">
        <f aca="false">IF($C11&gt;=Assumptions!$B$8,CMS_PL!H11*Assumptions!$E$30,CMS_PL!H11*Assumptions!$C$30)/Assumptions!$B$5</f>
        <v>42.6132075471698</v>
      </c>
      <c r="N11" s="38" t="n">
        <f aca="false">IF($C11&gt;=Assumptions!$B$8,CMS_PL!H11*Assumptions!$E$31,CMS_PL!H11*Assumptions!$C$31)/Assumptions!$B$5</f>
        <v>85.2264150943396</v>
      </c>
      <c r="O11" s="38" t="n">
        <f aca="false">IF($C11&gt;=Assumptions!$B$8,CMS_PL!K11*Assumptions!$E$32,CMS_PL!I11*Assumptions!$C$32)/Assumptions!$B$5</f>
        <v>5.25283018867925</v>
      </c>
      <c r="P11" s="38" t="n">
        <f aca="false">IF($C11&gt;=Assumptions!$B$8,CMS_PL!K11*Assumptions!$E$33,CMS_PL!J11*Assumptions!$C$33)/Assumptions!$B$5</f>
        <v>10.0132075471698</v>
      </c>
    </row>
    <row r="12" customFormat="false" ht="15" hidden="false" customHeight="false" outlineLevel="0" collapsed="false">
      <c r="A12" s="8" t="str">
        <f aca="false">CMS_PL!A12</f>
        <v>2017-Q3</v>
      </c>
      <c r="B12" s="8" t="str">
        <f aca="false">CMS_PL!B12</f>
        <v>2017</v>
      </c>
      <c r="C12" s="37" t="n">
        <f aca="false">CMS_PL!D12</f>
        <v>2017.5</v>
      </c>
      <c r="D12" s="7" t="str">
        <f aca="false">IF(C12&gt;=Assumptions!$B$8,"New code","Old code")</f>
        <v>Old code</v>
      </c>
      <c r="E12" s="38" t="n">
        <f aca="false">IF($C12&gt;=Assumptions!$B$8,CMS_PL!G12*Assumptions!$E$22,CMS_PL!E12*Assumptions!$C$22)/Assumptions!$B$5</f>
        <v>4.10188679245283</v>
      </c>
      <c r="F12" s="38" t="n">
        <f aca="false">IF($C12&gt;=Assumptions!$B$8,CMS_PL!G12*Assumptions!$E$23,CMS_PL!F12*Assumptions!$C$23)/Assumptions!$B$5</f>
        <v>5.69150943396226</v>
      </c>
      <c r="G12" s="38" t="n">
        <f aca="false">IF($C12&gt;=Assumptions!$B$8,CMS_PL!G12*Assumptions!$E$24,CMS_PL!F12*Assumptions!$C$24)/Assumptions!$B$5</f>
        <v>22.7660377358491</v>
      </c>
      <c r="H12" s="38" t="n">
        <f aca="false">IF($C12&gt;=Assumptions!$B$8,CMS_PL!G12*Assumptions!$E$25,CMS_PL!F12*Assumptions!$C$25)/Assumptions!$B$5</f>
        <v>45.5320754716981</v>
      </c>
      <c r="I12" s="38" t="n">
        <f aca="false">IF($C12&gt;=Assumptions!$B$8,CMS_PL!G12*Assumptions!$E$26,CMS_PL!F12*Assumptions!$C$26)/Assumptions!$B$5</f>
        <v>91.0641509433962</v>
      </c>
      <c r="J12" s="38" t="n">
        <f aca="false">IF($C12&gt;=Assumptions!$B$8,CMS_PL!H12*Assumptions!$E$27,CMS_PL!H12*Assumptions!$C$27)/Assumptions!$B$5</f>
        <v>10.2377358490566</v>
      </c>
      <c r="K12" s="38" t="n">
        <f aca="false">IF($C12&gt;=Assumptions!$B$8,CMS_PL!H12*Assumptions!$E$28,CMS_PL!H12*Assumptions!$C$28)/Assumptions!$B$5</f>
        <v>25.5943396226415</v>
      </c>
      <c r="L12" s="38" t="n">
        <f aca="false">IF($C12&gt;=Assumptions!$B$8,CMS_PL!H12*Assumptions!$E$29,CMS_PL!H12*Assumptions!$C$29)/Assumptions!$B$5</f>
        <v>30.7132075471698</v>
      </c>
      <c r="M12" s="38" t="n">
        <f aca="false">IF($C12&gt;=Assumptions!$B$8,CMS_PL!H12*Assumptions!$E$30,CMS_PL!H12*Assumptions!$C$30)/Assumptions!$B$5</f>
        <v>51.188679245283</v>
      </c>
      <c r="N12" s="38" t="n">
        <f aca="false">IF($C12&gt;=Assumptions!$B$8,CMS_PL!H12*Assumptions!$E$31,CMS_PL!H12*Assumptions!$C$31)/Assumptions!$B$5</f>
        <v>102.377358490566</v>
      </c>
      <c r="O12" s="38" t="n">
        <f aca="false">IF($C12&gt;=Assumptions!$B$8,CMS_PL!K12*Assumptions!$E$32,CMS_PL!I12*Assumptions!$C$32)/Assumptions!$B$5</f>
        <v>5.66415094339623</v>
      </c>
      <c r="P12" s="38" t="n">
        <f aca="false">IF($C12&gt;=Assumptions!$B$8,CMS_PL!K12*Assumptions!$E$33,CMS_PL!J12*Assumptions!$C$33)/Assumptions!$B$5</f>
        <v>10.877358490566</v>
      </c>
    </row>
    <row r="13" customFormat="false" ht="15" hidden="false" customHeight="false" outlineLevel="0" collapsed="false">
      <c r="A13" s="8" t="str">
        <f aca="false">CMS_PL!A13</f>
        <v>2017-Q4</v>
      </c>
      <c r="B13" s="8" t="str">
        <f aca="false">CMS_PL!B13</f>
        <v>2017</v>
      </c>
      <c r="C13" s="37" t="n">
        <f aca="false">CMS_PL!D13</f>
        <v>2017.75</v>
      </c>
      <c r="D13" s="7" t="str">
        <f aca="false">IF(C13&gt;=Assumptions!$B$8,"New code","Old code")</f>
        <v>Old code</v>
      </c>
      <c r="E13" s="38" t="n">
        <f aca="false">IF($C13&gt;=Assumptions!$B$8,CMS_PL!G13*Assumptions!$E$22,CMS_PL!E13*Assumptions!$C$22)/Assumptions!$B$5</f>
        <v>4.09150943396226</v>
      </c>
      <c r="F13" s="38" t="n">
        <f aca="false">IF($C13&gt;=Assumptions!$B$8,CMS_PL!G13*Assumptions!$E$23,CMS_PL!F13*Assumptions!$C$23)/Assumptions!$B$5</f>
        <v>5.74811320754717</v>
      </c>
      <c r="G13" s="38" t="n">
        <f aca="false">IF($C13&gt;=Assumptions!$B$8,CMS_PL!G13*Assumptions!$E$24,CMS_PL!F13*Assumptions!$C$24)/Assumptions!$B$5</f>
        <v>22.9924528301887</v>
      </c>
      <c r="H13" s="38" t="n">
        <f aca="false">IF($C13&gt;=Assumptions!$B$8,CMS_PL!G13*Assumptions!$E$25,CMS_PL!F13*Assumptions!$C$25)/Assumptions!$B$5</f>
        <v>45.9849056603774</v>
      </c>
      <c r="I13" s="38" t="n">
        <f aca="false">IF($C13&gt;=Assumptions!$B$8,CMS_PL!G13*Assumptions!$E$26,CMS_PL!F13*Assumptions!$C$26)/Assumptions!$B$5</f>
        <v>91.9698113207547</v>
      </c>
      <c r="J13" s="38" t="n">
        <f aca="false">IF($C13&gt;=Assumptions!$B$8,CMS_PL!H13*Assumptions!$E$27,CMS_PL!H13*Assumptions!$C$27)/Assumptions!$B$5</f>
        <v>10.6405660377358</v>
      </c>
      <c r="K13" s="38" t="n">
        <f aca="false">IF($C13&gt;=Assumptions!$B$8,CMS_PL!H13*Assumptions!$E$28,CMS_PL!H13*Assumptions!$C$28)/Assumptions!$B$5</f>
        <v>26.6014150943396</v>
      </c>
      <c r="L13" s="38" t="n">
        <f aca="false">IF($C13&gt;=Assumptions!$B$8,CMS_PL!H13*Assumptions!$E$29,CMS_PL!H13*Assumptions!$C$29)/Assumptions!$B$5</f>
        <v>31.9216981132075</v>
      </c>
      <c r="M13" s="38" t="n">
        <f aca="false">IF($C13&gt;=Assumptions!$B$8,CMS_PL!H13*Assumptions!$E$30,CMS_PL!H13*Assumptions!$C$30)/Assumptions!$B$5</f>
        <v>53.2028301886792</v>
      </c>
      <c r="N13" s="38" t="n">
        <f aca="false">IF($C13&gt;=Assumptions!$B$8,CMS_PL!H13*Assumptions!$E$31,CMS_PL!H13*Assumptions!$C$31)/Assumptions!$B$5</f>
        <v>106.405660377358</v>
      </c>
      <c r="O13" s="38" t="n">
        <f aca="false">IF($C13&gt;=Assumptions!$B$8,CMS_PL!K13*Assumptions!$E$32,CMS_PL!I13*Assumptions!$C$32)/Assumptions!$B$5</f>
        <v>6.00188679245283</v>
      </c>
      <c r="P13" s="38" t="n">
        <f aca="false">IF($C13&gt;=Assumptions!$B$8,CMS_PL!K13*Assumptions!$E$33,CMS_PL!J13*Assumptions!$C$33)/Assumptions!$B$5</f>
        <v>11.5660377358491</v>
      </c>
    </row>
    <row r="14" customFormat="false" ht="15" hidden="false" customHeight="false" outlineLevel="0" collapsed="false">
      <c r="A14" s="8" t="str">
        <f aca="false">CMS_PL!A14</f>
        <v>2018-Q1</v>
      </c>
      <c r="B14" s="8" t="str">
        <f aca="false">CMS_PL!B14</f>
        <v>2018</v>
      </c>
      <c r="C14" s="37" t="n">
        <f aca="false">CMS_PL!D14</f>
        <v>2018</v>
      </c>
      <c r="D14" s="7" t="str">
        <f aca="false">IF(C14&gt;=Assumptions!$B$8,"New code","Old code")</f>
        <v>Old code</v>
      </c>
      <c r="E14" s="38" t="n">
        <f aca="false">IF($C14&gt;=Assumptions!$B$8,CMS_PL!G14*Assumptions!$E$22,CMS_PL!E14*Assumptions!$C$22)/Assumptions!$B$5</f>
        <v>4.1</v>
      </c>
      <c r="F14" s="38" t="n">
        <f aca="false">IF($C14&gt;=Assumptions!$B$8,CMS_PL!G14*Assumptions!$E$23,CMS_PL!F14*Assumptions!$C$23)/Assumptions!$B$5</f>
        <v>5.64622641509434</v>
      </c>
      <c r="G14" s="38" t="n">
        <f aca="false">IF($C14&gt;=Assumptions!$B$8,CMS_PL!G14*Assumptions!$E$24,CMS_PL!F14*Assumptions!$C$24)/Assumptions!$B$5</f>
        <v>22.5849056603774</v>
      </c>
      <c r="H14" s="38" t="n">
        <f aca="false">IF($C14&gt;=Assumptions!$B$8,CMS_PL!G14*Assumptions!$E$25,CMS_PL!F14*Assumptions!$C$25)/Assumptions!$B$5</f>
        <v>45.1698113207547</v>
      </c>
      <c r="I14" s="38" t="n">
        <f aca="false">IF($C14&gt;=Assumptions!$B$8,CMS_PL!G14*Assumptions!$E$26,CMS_PL!F14*Assumptions!$C$26)/Assumptions!$B$5</f>
        <v>90.3396226415094</v>
      </c>
      <c r="J14" s="38" t="n">
        <f aca="false">IF($C14&gt;=Assumptions!$B$8,CMS_PL!H14*Assumptions!$E$27,CMS_PL!H14*Assumptions!$C$27)/Assumptions!$B$5</f>
        <v>11.2556603773585</v>
      </c>
      <c r="K14" s="38" t="n">
        <f aca="false">IF($C14&gt;=Assumptions!$B$8,CMS_PL!H14*Assumptions!$E$28,CMS_PL!H14*Assumptions!$C$28)/Assumptions!$B$5</f>
        <v>28.1391509433962</v>
      </c>
      <c r="L14" s="38" t="n">
        <f aca="false">IF($C14&gt;=Assumptions!$B$8,CMS_PL!H14*Assumptions!$E$29,CMS_PL!H14*Assumptions!$C$29)/Assumptions!$B$5</f>
        <v>33.7669811320755</v>
      </c>
      <c r="M14" s="38" t="n">
        <f aca="false">IF($C14&gt;=Assumptions!$B$8,CMS_PL!H14*Assumptions!$E$30,CMS_PL!H14*Assumptions!$C$30)/Assumptions!$B$5</f>
        <v>56.2783018867924</v>
      </c>
      <c r="N14" s="38" t="n">
        <f aca="false">IF($C14&gt;=Assumptions!$B$8,CMS_PL!H14*Assumptions!$E$31,CMS_PL!H14*Assumptions!$C$31)/Assumptions!$B$5</f>
        <v>112.556603773585</v>
      </c>
      <c r="O14" s="38" t="n">
        <f aca="false">IF($C14&gt;=Assumptions!$B$8,CMS_PL!K14*Assumptions!$E$32,CMS_PL!I14*Assumptions!$C$32)/Assumptions!$B$5</f>
        <v>6.31509433962264</v>
      </c>
      <c r="P14" s="38" t="n">
        <f aca="false">IF($C14&gt;=Assumptions!$B$8,CMS_PL!K14*Assumptions!$E$33,CMS_PL!J14*Assumptions!$C$33)/Assumptions!$B$5</f>
        <v>12.2292452830189</v>
      </c>
    </row>
    <row r="15" customFormat="false" ht="15" hidden="false" customHeight="false" outlineLevel="0" collapsed="false">
      <c r="A15" s="8" t="str">
        <f aca="false">CMS_PL!A15</f>
        <v>2018-Q2</v>
      </c>
      <c r="B15" s="8" t="str">
        <f aca="false">CMS_PL!B15</f>
        <v>2018</v>
      </c>
      <c r="C15" s="37" t="n">
        <f aca="false">CMS_PL!D15</f>
        <v>2018.25</v>
      </c>
      <c r="D15" s="7" t="str">
        <f aca="false">IF(C15&gt;=Assumptions!$B$8,"New code","Old code")</f>
        <v>Old code</v>
      </c>
      <c r="E15" s="38" t="n">
        <f aca="false">IF($C15&gt;=Assumptions!$B$8,CMS_PL!G15*Assumptions!$E$22,CMS_PL!E15*Assumptions!$C$22)/Assumptions!$B$5</f>
        <v>4.28018867924528</v>
      </c>
      <c r="F15" s="38" t="n">
        <f aca="false">IF($C15&gt;=Assumptions!$B$8,CMS_PL!G15*Assumptions!$E$23,CMS_PL!F15*Assumptions!$C$23)/Assumptions!$B$5</f>
        <v>6.29433962264151</v>
      </c>
      <c r="G15" s="38" t="n">
        <f aca="false">IF($C15&gt;=Assumptions!$B$8,CMS_PL!G15*Assumptions!$E$24,CMS_PL!F15*Assumptions!$C$24)/Assumptions!$B$5</f>
        <v>25.177358490566</v>
      </c>
      <c r="H15" s="38" t="n">
        <f aca="false">IF($C15&gt;=Assumptions!$B$8,CMS_PL!G15*Assumptions!$E$25,CMS_PL!F15*Assumptions!$C$25)/Assumptions!$B$5</f>
        <v>50.3547169811321</v>
      </c>
      <c r="I15" s="38" t="n">
        <f aca="false">IF($C15&gt;=Assumptions!$B$8,CMS_PL!G15*Assumptions!$E$26,CMS_PL!F15*Assumptions!$C$26)/Assumptions!$B$5</f>
        <v>100.709433962264</v>
      </c>
      <c r="J15" s="38" t="n">
        <f aca="false">IF($C15&gt;=Assumptions!$B$8,CMS_PL!H15*Assumptions!$E$27,CMS_PL!H15*Assumptions!$C$27)/Assumptions!$B$5</f>
        <v>11.3679245283019</v>
      </c>
      <c r="K15" s="38" t="n">
        <f aca="false">IF($C15&gt;=Assumptions!$B$8,CMS_PL!H15*Assumptions!$E$28,CMS_PL!H15*Assumptions!$C$28)/Assumptions!$B$5</f>
        <v>28.4198113207547</v>
      </c>
      <c r="L15" s="38" t="n">
        <f aca="false">IF($C15&gt;=Assumptions!$B$8,CMS_PL!H15*Assumptions!$E$29,CMS_PL!H15*Assumptions!$C$29)/Assumptions!$B$5</f>
        <v>34.1037735849057</v>
      </c>
      <c r="M15" s="38" t="n">
        <f aca="false">IF($C15&gt;=Assumptions!$B$8,CMS_PL!H15*Assumptions!$E$30,CMS_PL!H15*Assumptions!$C$30)/Assumptions!$B$5</f>
        <v>56.8396226415094</v>
      </c>
      <c r="N15" s="38" t="n">
        <f aca="false">IF($C15&gt;=Assumptions!$B$8,CMS_PL!H15*Assumptions!$E$31,CMS_PL!H15*Assumptions!$C$31)/Assumptions!$B$5</f>
        <v>113.679245283019</v>
      </c>
      <c r="O15" s="38" t="n">
        <f aca="false">IF($C15&gt;=Assumptions!$B$8,CMS_PL!K15*Assumptions!$E$32,CMS_PL!I15*Assumptions!$C$32)/Assumptions!$B$5</f>
        <v>6.2622641509434</v>
      </c>
      <c r="P15" s="38" t="n">
        <f aca="false">IF($C15&gt;=Assumptions!$B$8,CMS_PL!K15*Assumptions!$E$33,CMS_PL!J15*Assumptions!$C$33)/Assumptions!$B$5</f>
        <v>12.1783018867925</v>
      </c>
    </row>
    <row r="16" customFormat="false" ht="15" hidden="false" customHeight="false" outlineLevel="0" collapsed="false">
      <c r="A16" s="8" t="str">
        <f aca="false">CMS_PL!A16</f>
        <v>2018-Q3</v>
      </c>
      <c r="B16" s="8" t="str">
        <f aca="false">CMS_PL!B16</f>
        <v>2018</v>
      </c>
      <c r="C16" s="37" t="n">
        <f aca="false">CMS_PL!D16</f>
        <v>2018.5</v>
      </c>
      <c r="D16" s="7" t="str">
        <f aca="false">IF(C16&gt;=Assumptions!$B$8,"New code","Old code")</f>
        <v>Old code</v>
      </c>
      <c r="E16" s="38" t="n">
        <f aca="false">IF($C16&gt;=Assumptions!$B$8,CMS_PL!G16*Assumptions!$E$22,CMS_PL!E16*Assumptions!$C$22)/Assumptions!$B$5</f>
        <v>4.53301886792453</v>
      </c>
      <c r="F16" s="38" t="n">
        <f aca="false">IF($C16&gt;=Assumptions!$B$8,CMS_PL!G16*Assumptions!$E$23,CMS_PL!F16*Assumptions!$C$23)/Assumptions!$B$5</f>
        <v>6.57075471698113</v>
      </c>
      <c r="G16" s="38" t="n">
        <f aca="false">IF($C16&gt;=Assumptions!$B$8,CMS_PL!G16*Assumptions!$E$24,CMS_PL!F16*Assumptions!$C$24)/Assumptions!$B$5</f>
        <v>26.2830188679245</v>
      </c>
      <c r="H16" s="38" t="n">
        <f aca="false">IF($C16&gt;=Assumptions!$B$8,CMS_PL!G16*Assumptions!$E$25,CMS_PL!F16*Assumptions!$C$25)/Assumptions!$B$5</f>
        <v>52.5660377358491</v>
      </c>
      <c r="I16" s="38" t="n">
        <f aca="false">IF($C16&gt;=Assumptions!$B$8,CMS_PL!G16*Assumptions!$E$26,CMS_PL!F16*Assumptions!$C$26)/Assumptions!$B$5</f>
        <v>105.132075471698</v>
      </c>
      <c r="J16" s="38" t="n">
        <f aca="false">IF($C16&gt;=Assumptions!$B$8,CMS_PL!H16*Assumptions!$E$27,CMS_PL!H16*Assumptions!$C$27)/Assumptions!$B$5</f>
        <v>12.4311320754717</v>
      </c>
      <c r="K16" s="38" t="n">
        <f aca="false">IF($C16&gt;=Assumptions!$B$8,CMS_PL!H16*Assumptions!$E$28,CMS_PL!H16*Assumptions!$C$28)/Assumptions!$B$5</f>
        <v>31.0778301886792</v>
      </c>
      <c r="L16" s="38" t="n">
        <f aca="false">IF($C16&gt;=Assumptions!$B$8,CMS_PL!H16*Assumptions!$E$29,CMS_PL!H16*Assumptions!$C$29)/Assumptions!$B$5</f>
        <v>37.2933962264151</v>
      </c>
      <c r="M16" s="38" t="n">
        <f aca="false">IF($C16&gt;=Assumptions!$B$8,CMS_PL!H16*Assumptions!$E$30,CMS_PL!H16*Assumptions!$C$30)/Assumptions!$B$5</f>
        <v>62.1556603773585</v>
      </c>
      <c r="N16" s="38" t="n">
        <f aca="false">IF($C16&gt;=Assumptions!$B$8,CMS_PL!H16*Assumptions!$E$31,CMS_PL!H16*Assumptions!$C$31)/Assumptions!$B$5</f>
        <v>124.311320754717</v>
      </c>
      <c r="O16" s="38" t="n">
        <f aca="false">IF($C16&gt;=Assumptions!$B$8,CMS_PL!K16*Assumptions!$E$32,CMS_PL!I16*Assumptions!$C$32)/Assumptions!$B$5</f>
        <v>6.60471698113208</v>
      </c>
      <c r="P16" s="38" t="n">
        <f aca="false">IF($C16&gt;=Assumptions!$B$8,CMS_PL!K16*Assumptions!$E$33,CMS_PL!J16*Assumptions!$C$33)/Assumptions!$B$5</f>
        <v>12.7452830188679</v>
      </c>
    </row>
    <row r="17" customFormat="false" ht="15" hidden="false" customHeight="false" outlineLevel="0" collapsed="false">
      <c r="A17" s="8" t="str">
        <f aca="false">CMS_PL!A17</f>
        <v>2018-Q4</v>
      </c>
      <c r="B17" s="8" t="str">
        <f aca="false">CMS_PL!B17</f>
        <v>2018</v>
      </c>
      <c r="C17" s="37" t="n">
        <f aca="false">CMS_PL!D17</f>
        <v>2018.75</v>
      </c>
      <c r="D17" s="7" t="str">
        <f aca="false">IF(C17&gt;=Assumptions!$B$8,"New code","Old code")</f>
        <v>Old code</v>
      </c>
      <c r="E17" s="38" t="n">
        <f aca="false">IF($C17&gt;=Assumptions!$B$8,CMS_PL!G17*Assumptions!$E$22,CMS_PL!E17*Assumptions!$C$22)/Assumptions!$B$5</f>
        <v>4.45</v>
      </c>
      <c r="F17" s="38" t="n">
        <f aca="false">IF($C17&gt;=Assumptions!$B$8,CMS_PL!G17*Assumptions!$E$23,CMS_PL!F17*Assumptions!$C$23)/Assumptions!$B$5</f>
        <v>6.54905660377359</v>
      </c>
      <c r="G17" s="38" t="n">
        <f aca="false">IF($C17&gt;=Assumptions!$B$8,CMS_PL!G17*Assumptions!$E$24,CMS_PL!F17*Assumptions!$C$24)/Assumptions!$B$5</f>
        <v>26.1962264150943</v>
      </c>
      <c r="H17" s="38" t="n">
        <f aca="false">IF($C17&gt;=Assumptions!$B$8,CMS_PL!G17*Assumptions!$E$25,CMS_PL!F17*Assumptions!$C$25)/Assumptions!$B$5</f>
        <v>52.3924528301887</v>
      </c>
      <c r="I17" s="38" t="n">
        <f aca="false">IF($C17&gt;=Assumptions!$B$8,CMS_PL!G17*Assumptions!$E$26,CMS_PL!F17*Assumptions!$C$26)/Assumptions!$B$5</f>
        <v>104.784905660377</v>
      </c>
      <c r="J17" s="38" t="n">
        <f aca="false">IF($C17&gt;=Assumptions!$B$8,CMS_PL!H17*Assumptions!$E$27,CMS_PL!H17*Assumptions!$C$27)/Assumptions!$B$5</f>
        <v>12.3122641509434</v>
      </c>
      <c r="K17" s="38" t="n">
        <f aca="false">IF($C17&gt;=Assumptions!$B$8,CMS_PL!H17*Assumptions!$E$28,CMS_PL!H17*Assumptions!$C$28)/Assumptions!$B$5</f>
        <v>30.7806603773585</v>
      </c>
      <c r="L17" s="38" t="n">
        <f aca="false">IF($C17&gt;=Assumptions!$B$8,CMS_PL!H17*Assumptions!$E$29,CMS_PL!H17*Assumptions!$C$29)/Assumptions!$B$5</f>
        <v>36.9367924528302</v>
      </c>
      <c r="M17" s="38" t="n">
        <f aca="false">IF($C17&gt;=Assumptions!$B$8,CMS_PL!H17*Assumptions!$E$30,CMS_PL!H17*Assumptions!$C$30)/Assumptions!$B$5</f>
        <v>61.561320754717</v>
      </c>
      <c r="N17" s="38" t="n">
        <f aca="false">IF($C17&gt;=Assumptions!$B$8,CMS_PL!H17*Assumptions!$E$31,CMS_PL!H17*Assumptions!$C$31)/Assumptions!$B$5</f>
        <v>123.122641509434</v>
      </c>
      <c r="O17" s="38" t="n">
        <f aca="false">IF($C17&gt;=Assumptions!$B$8,CMS_PL!K17*Assumptions!$E$32,CMS_PL!I17*Assumptions!$C$32)/Assumptions!$B$5</f>
        <v>6.38962264150943</v>
      </c>
      <c r="P17" s="38" t="n">
        <f aca="false">IF($C17&gt;=Assumptions!$B$8,CMS_PL!K17*Assumptions!$E$33,CMS_PL!J17*Assumptions!$C$33)/Assumptions!$B$5</f>
        <v>12.5669811320755</v>
      </c>
    </row>
    <row r="18" customFormat="false" ht="15" hidden="false" customHeight="false" outlineLevel="0" collapsed="false">
      <c r="A18" s="8" t="str">
        <f aca="false">CMS_PL!A18</f>
        <v>2019-Q1</v>
      </c>
      <c r="B18" s="8" t="str">
        <f aca="false">CMS_PL!B18</f>
        <v>2019</v>
      </c>
      <c r="C18" s="37" t="n">
        <f aca="false">CMS_PL!D18</f>
        <v>2019</v>
      </c>
      <c r="D18" s="7" t="str">
        <f aca="false">IF(C18&gt;=Assumptions!$B$8,"New code","Old code")</f>
        <v>Old code</v>
      </c>
      <c r="E18" s="38" t="n">
        <f aca="false">IF($C18&gt;=Assumptions!$B$8,CMS_PL!G18*Assumptions!$E$22,CMS_PL!E18*Assumptions!$C$22)/Assumptions!$B$5</f>
        <v>4.59622641509434</v>
      </c>
      <c r="F18" s="38" t="n">
        <f aca="false">IF($C18&gt;=Assumptions!$B$8,CMS_PL!G18*Assumptions!$E$23,CMS_PL!F18*Assumptions!$C$23)/Assumptions!$B$5</f>
        <v>6.53584905660377</v>
      </c>
      <c r="G18" s="38" t="n">
        <f aca="false">IF($C18&gt;=Assumptions!$B$8,CMS_PL!G18*Assumptions!$E$24,CMS_PL!F18*Assumptions!$C$24)/Assumptions!$B$5</f>
        <v>26.1433962264151</v>
      </c>
      <c r="H18" s="38" t="n">
        <f aca="false">IF($C18&gt;=Assumptions!$B$8,CMS_PL!G18*Assumptions!$E$25,CMS_PL!F18*Assumptions!$C$25)/Assumptions!$B$5</f>
        <v>52.2867924528302</v>
      </c>
      <c r="I18" s="38" t="n">
        <f aca="false">IF($C18&gt;=Assumptions!$B$8,CMS_PL!G18*Assumptions!$E$26,CMS_PL!F18*Assumptions!$C$26)/Assumptions!$B$5</f>
        <v>104.57358490566</v>
      </c>
      <c r="J18" s="38" t="n">
        <f aca="false">IF($C18&gt;=Assumptions!$B$8,CMS_PL!H18*Assumptions!$E$27,CMS_PL!H18*Assumptions!$C$27)/Assumptions!$B$5</f>
        <v>12.2575471698113</v>
      </c>
      <c r="K18" s="38" t="n">
        <f aca="false">IF($C18&gt;=Assumptions!$B$8,CMS_PL!H18*Assumptions!$E$28,CMS_PL!H18*Assumptions!$C$28)/Assumptions!$B$5</f>
        <v>30.6438679245283</v>
      </c>
      <c r="L18" s="38" t="n">
        <f aca="false">IF($C18&gt;=Assumptions!$B$8,CMS_PL!H18*Assumptions!$E$29,CMS_PL!H18*Assumptions!$C$29)/Assumptions!$B$5</f>
        <v>36.772641509434</v>
      </c>
      <c r="M18" s="38" t="n">
        <f aca="false">IF($C18&gt;=Assumptions!$B$8,CMS_PL!H18*Assumptions!$E$30,CMS_PL!H18*Assumptions!$C$30)/Assumptions!$B$5</f>
        <v>61.2877358490566</v>
      </c>
      <c r="N18" s="38" t="n">
        <f aca="false">IF($C18&gt;=Assumptions!$B$8,CMS_PL!H18*Assumptions!$E$31,CMS_PL!H18*Assumptions!$C$31)/Assumptions!$B$5</f>
        <v>122.575471698113</v>
      </c>
      <c r="O18" s="38" t="n">
        <f aca="false">IF($C18&gt;=Assumptions!$B$8,CMS_PL!K18*Assumptions!$E$32,CMS_PL!I18*Assumptions!$C$32)/Assumptions!$B$5</f>
        <v>6.22641509433962</v>
      </c>
      <c r="P18" s="38" t="n">
        <f aca="false">IF($C18&gt;=Assumptions!$B$8,CMS_PL!K18*Assumptions!$E$33,CMS_PL!J18*Assumptions!$C$33)/Assumptions!$B$5</f>
        <v>12.1349056603774</v>
      </c>
    </row>
    <row r="19" customFormat="false" ht="15" hidden="false" customHeight="false" outlineLevel="0" collapsed="false">
      <c r="A19" s="8" t="str">
        <f aca="false">CMS_PL!A19</f>
        <v>2019-Q2</v>
      </c>
      <c r="B19" s="8" t="str">
        <f aca="false">CMS_PL!B19</f>
        <v>2019</v>
      </c>
      <c r="C19" s="37" t="n">
        <f aca="false">CMS_PL!D19</f>
        <v>2019.25</v>
      </c>
      <c r="D19" s="7" t="str">
        <f aca="false">IF(C19&gt;=Assumptions!$B$8,"New code","Old code")</f>
        <v>Old code</v>
      </c>
      <c r="E19" s="38" t="n">
        <f aca="false">IF($C19&gt;=Assumptions!$B$8,CMS_PL!G19*Assumptions!$E$22,CMS_PL!E19*Assumptions!$C$22)/Assumptions!$B$5</f>
        <v>4.21132075471698</v>
      </c>
      <c r="F19" s="38" t="n">
        <f aca="false">IF($C19&gt;=Assumptions!$B$8,CMS_PL!G19*Assumptions!$E$23,CMS_PL!F19*Assumptions!$C$23)/Assumptions!$B$5</f>
        <v>6.00094339622642</v>
      </c>
      <c r="G19" s="38" t="n">
        <f aca="false">IF($C19&gt;=Assumptions!$B$8,CMS_PL!G19*Assumptions!$E$24,CMS_PL!F19*Assumptions!$C$24)/Assumptions!$B$5</f>
        <v>24.0037735849057</v>
      </c>
      <c r="H19" s="38" t="n">
        <f aca="false">IF($C19&gt;=Assumptions!$B$8,CMS_PL!G19*Assumptions!$E$25,CMS_PL!F19*Assumptions!$C$25)/Assumptions!$B$5</f>
        <v>48.0075471698113</v>
      </c>
      <c r="I19" s="38" t="n">
        <f aca="false">IF($C19&gt;=Assumptions!$B$8,CMS_PL!G19*Assumptions!$E$26,CMS_PL!F19*Assumptions!$C$26)/Assumptions!$B$5</f>
        <v>96.0150943396226</v>
      </c>
      <c r="J19" s="38" t="n">
        <f aca="false">IF($C19&gt;=Assumptions!$B$8,CMS_PL!H19*Assumptions!$E$27,CMS_PL!H19*Assumptions!$C$27)/Assumptions!$B$5</f>
        <v>12.3047169811321</v>
      </c>
      <c r="K19" s="38" t="n">
        <f aca="false">IF($C19&gt;=Assumptions!$B$8,CMS_PL!H19*Assumptions!$E$28,CMS_PL!H19*Assumptions!$C$28)/Assumptions!$B$5</f>
        <v>30.7617924528302</v>
      </c>
      <c r="L19" s="38" t="n">
        <f aca="false">IF($C19&gt;=Assumptions!$B$8,CMS_PL!H19*Assumptions!$E$29,CMS_PL!H19*Assumptions!$C$29)/Assumptions!$B$5</f>
        <v>36.9141509433962</v>
      </c>
      <c r="M19" s="38" t="n">
        <f aca="false">IF($C19&gt;=Assumptions!$B$8,CMS_PL!H19*Assumptions!$E$30,CMS_PL!H19*Assumptions!$C$30)/Assumptions!$B$5</f>
        <v>61.5235849056604</v>
      </c>
      <c r="N19" s="38" t="n">
        <f aca="false">IF($C19&gt;=Assumptions!$B$8,CMS_PL!H19*Assumptions!$E$31,CMS_PL!H19*Assumptions!$C$31)/Assumptions!$B$5</f>
        <v>123.047169811321</v>
      </c>
      <c r="O19" s="38" t="n">
        <f aca="false">IF($C19&gt;=Assumptions!$B$8,CMS_PL!K19*Assumptions!$E$32,CMS_PL!I19*Assumptions!$C$32)/Assumptions!$B$5</f>
        <v>6.09622641509434</v>
      </c>
      <c r="P19" s="38" t="n">
        <f aca="false">IF($C19&gt;=Assumptions!$B$8,CMS_PL!K19*Assumptions!$E$33,CMS_PL!J19*Assumptions!$C$33)/Assumptions!$B$5</f>
        <v>11.7820754716981</v>
      </c>
    </row>
    <row r="20" customFormat="false" ht="15" hidden="false" customHeight="false" outlineLevel="0" collapsed="false">
      <c r="A20" s="8" t="str">
        <f aca="false">CMS_PL!A20</f>
        <v>2019-Q3</v>
      </c>
      <c r="B20" s="8" t="str">
        <f aca="false">CMS_PL!B20</f>
        <v>2019</v>
      </c>
      <c r="C20" s="37" t="n">
        <f aca="false">CMS_PL!D20</f>
        <v>2019.5</v>
      </c>
      <c r="D20" s="7" t="str">
        <f aca="false">IF(C20&gt;=Assumptions!$B$8,"New code","Old code")</f>
        <v>Old code</v>
      </c>
      <c r="E20" s="38" t="n">
        <f aca="false">IF($C20&gt;=Assumptions!$B$8,CMS_PL!G20*Assumptions!$E$22,CMS_PL!E20*Assumptions!$C$22)/Assumptions!$B$5</f>
        <v>4.23490566037736</v>
      </c>
      <c r="F20" s="38" t="n">
        <f aca="false">IF($C20&gt;=Assumptions!$B$8,CMS_PL!G20*Assumptions!$E$23,CMS_PL!F20*Assumptions!$C$23)/Assumptions!$B$5</f>
        <v>5.81981132075472</v>
      </c>
      <c r="G20" s="38" t="n">
        <f aca="false">IF($C20&gt;=Assumptions!$B$8,CMS_PL!G20*Assumptions!$E$24,CMS_PL!F20*Assumptions!$C$24)/Assumptions!$B$5</f>
        <v>23.2792452830189</v>
      </c>
      <c r="H20" s="38" t="n">
        <f aca="false">IF($C20&gt;=Assumptions!$B$8,CMS_PL!G20*Assumptions!$E$25,CMS_PL!F20*Assumptions!$C$25)/Assumptions!$B$5</f>
        <v>46.5584905660377</v>
      </c>
      <c r="I20" s="38" t="n">
        <f aca="false">IF($C20&gt;=Assumptions!$B$8,CMS_PL!G20*Assumptions!$E$26,CMS_PL!F20*Assumptions!$C$26)/Assumptions!$B$5</f>
        <v>93.1169811320755</v>
      </c>
      <c r="J20" s="38" t="n">
        <f aca="false">IF($C20&gt;=Assumptions!$B$8,CMS_PL!H20*Assumptions!$E$27,CMS_PL!H20*Assumptions!$C$27)/Assumptions!$B$5</f>
        <v>12.3018867924528</v>
      </c>
      <c r="K20" s="38" t="n">
        <f aca="false">IF($C20&gt;=Assumptions!$B$8,CMS_PL!H20*Assumptions!$E$28,CMS_PL!H20*Assumptions!$C$28)/Assumptions!$B$5</f>
        <v>30.7547169811321</v>
      </c>
      <c r="L20" s="38" t="n">
        <f aca="false">IF($C20&gt;=Assumptions!$B$8,CMS_PL!H20*Assumptions!$E$29,CMS_PL!H20*Assumptions!$C$29)/Assumptions!$B$5</f>
        <v>36.9056603773585</v>
      </c>
      <c r="M20" s="38" t="n">
        <f aca="false">IF($C20&gt;=Assumptions!$B$8,CMS_PL!H20*Assumptions!$E$30,CMS_PL!H20*Assumptions!$C$30)/Assumptions!$B$5</f>
        <v>61.5094339622641</v>
      </c>
      <c r="N20" s="38" t="n">
        <f aca="false">IF($C20&gt;=Assumptions!$B$8,CMS_PL!H20*Assumptions!$E$31,CMS_PL!H20*Assumptions!$C$31)/Assumptions!$B$5</f>
        <v>123.018867924528</v>
      </c>
      <c r="O20" s="38" t="n">
        <f aca="false">IF($C20&gt;=Assumptions!$B$8,CMS_PL!K20*Assumptions!$E$32,CMS_PL!I20*Assumptions!$C$32)/Assumptions!$B$5</f>
        <v>5.88490566037736</v>
      </c>
      <c r="P20" s="38" t="n">
        <f aca="false">IF($C20&gt;=Assumptions!$B$8,CMS_PL!K20*Assumptions!$E$33,CMS_PL!J20*Assumptions!$C$33)/Assumptions!$B$5</f>
        <v>11.3358490566038</v>
      </c>
    </row>
    <row r="21" customFormat="false" ht="15" hidden="false" customHeight="false" outlineLevel="0" collapsed="false">
      <c r="A21" s="8" t="str">
        <f aca="false">CMS_PL!A21</f>
        <v>2019-Q4</v>
      </c>
      <c r="B21" s="8" t="str">
        <f aca="false">CMS_PL!B21</f>
        <v>2019</v>
      </c>
      <c r="C21" s="37" t="n">
        <f aca="false">CMS_PL!D21</f>
        <v>2019.75</v>
      </c>
      <c r="D21" s="7" t="str">
        <f aca="false">IF(C21&gt;=Assumptions!$B$8,"New code","Old code")</f>
        <v>Old code</v>
      </c>
      <c r="E21" s="38" t="n">
        <f aca="false">IF($C21&gt;=Assumptions!$B$8,CMS_PL!G21*Assumptions!$E$22,CMS_PL!E21*Assumptions!$C$22)/Assumptions!$B$5</f>
        <v>4.23301886792453</v>
      </c>
      <c r="F21" s="38" t="n">
        <f aca="false">IF($C21&gt;=Assumptions!$B$8,CMS_PL!G21*Assumptions!$E$23,CMS_PL!F21*Assumptions!$C$23)/Assumptions!$B$5</f>
        <v>5.77264150943396</v>
      </c>
      <c r="G21" s="38" t="n">
        <f aca="false">IF($C21&gt;=Assumptions!$B$8,CMS_PL!G21*Assumptions!$E$24,CMS_PL!F21*Assumptions!$C$24)/Assumptions!$B$5</f>
        <v>23.0905660377358</v>
      </c>
      <c r="H21" s="38" t="n">
        <f aca="false">IF($C21&gt;=Assumptions!$B$8,CMS_PL!G21*Assumptions!$E$25,CMS_PL!F21*Assumptions!$C$25)/Assumptions!$B$5</f>
        <v>46.1811320754717</v>
      </c>
      <c r="I21" s="38" t="n">
        <f aca="false">IF($C21&gt;=Assumptions!$B$8,CMS_PL!G21*Assumptions!$E$26,CMS_PL!F21*Assumptions!$C$26)/Assumptions!$B$5</f>
        <v>92.3622641509434</v>
      </c>
      <c r="J21" s="38" t="n">
        <f aca="false">IF($C21&gt;=Assumptions!$B$8,CMS_PL!H21*Assumptions!$E$27,CMS_PL!H21*Assumptions!$C$27)/Assumptions!$B$5</f>
        <v>12.1707547169811</v>
      </c>
      <c r="K21" s="38" t="n">
        <f aca="false">IF($C21&gt;=Assumptions!$B$8,CMS_PL!H21*Assumptions!$E$28,CMS_PL!H21*Assumptions!$C$28)/Assumptions!$B$5</f>
        <v>30.4268867924528</v>
      </c>
      <c r="L21" s="38" t="n">
        <f aca="false">IF($C21&gt;=Assumptions!$B$8,CMS_PL!H21*Assumptions!$E$29,CMS_PL!H21*Assumptions!$C$29)/Assumptions!$B$5</f>
        <v>36.5122641509434</v>
      </c>
      <c r="M21" s="38" t="n">
        <f aca="false">IF($C21&gt;=Assumptions!$B$8,CMS_PL!H21*Assumptions!$E$30,CMS_PL!H21*Assumptions!$C$30)/Assumptions!$B$5</f>
        <v>60.8537735849057</v>
      </c>
      <c r="N21" s="38" t="n">
        <f aca="false">IF($C21&gt;=Assumptions!$B$8,CMS_PL!H21*Assumptions!$E$31,CMS_PL!H21*Assumptions!$C$31)/Assumptions!$B$5</f>
        <v>121.707547169811</v>
      </c>
      <c r="O21" s="38" t="n">
        <f aca="false">IF($C21&gt;=Assumptions!$B$8,CMS_PL!K21*Assumptions!$E$32,CMS_PL!I21*Assumptions!$C$32)/Assumptions!$B$5</f>
        <v>5.89150943396226</v>
      </c>
      <c r="P21" s="38" t="n">
        <f aca="false">IF($C21&gt;=Assumptions!$B$8,CMS_PL!K21*Assumptions!$E$33,CMS_PL!J21*Assumptions!$C$33)/Assumptions!$B$5</f>
        <v>11.2584905660377</v>
      </c>
    </row>
    <row r="22" customFormat="false" ht="15" hidden="false" customHeight="false" outlineLevel="0" collapsed="false">
      <c r="A22" s="8" t="str">
        <f aca="false">CMS_PL!A22</f>
        <v>2020-Q1</v>
      </c>
      <c r="B22" s="8" t="str">
        <f aca="false">CMS_PL!B22</f>
        <v>2020</v>
      </c>
      <c r="C22" s="37" t="n">
        <f aca="false">CMS_PL!D22</f>
        <v>2020</v>
      </c>
      <c r="D22" s="7" t="str">
        <f aca="false">IF(C22&gt;=Assumptions!$B$8,"New code","Old code")</f>
        <v>Old code</v>
      </c>
      <c r="E22" s="38" t="n">
        <f aca="false">IF($C22&gt;=Assumptions!$B$8,CMS_PL!G22*Assumptions!$E$22,CMS_PL!E22*Assumptions!$C$22)/Assumptions!$B$5</f>
        <v>4.32264150943396</v>
      </c>
      <c r="F22" s="38" t="n">
        <f aca="false">IF($C22&gt;=Assumptions!$B$8,CMS_PL!G22*Assumptions!$E$23,CMS_PL!F22*Assumptions!$C$23)/Assumptions!$B$5</f>
        <v>5.95943396226415</v>
      </c>
      <c r="G22" s="38" t="n">
        <f aca="false">IF($C22&gt;=Assumptions!$B$8,CMS_PL!G22*Assumptions!$E$24,CMS_PL!F22*Assumptions!$C$24)/Assumptions!$B$5</f>
        <v>23.8377358490566</v>
      </c>
      <c r="H22" s="38" t="n">
        <f aca="false">IF($C22&gt;=Assumptions!$B$8,CMS_PL!G22*Assumptions!$E$25,CMS_PL!F22*Assumptions!$C$25)/Assumptions!$B$5</f>
        <v>47.6754716981132</v>
      </c>
      <c r="I22" s="38" t="n">
        <f aca="false">IF($C22&gt;=Assumptions!$B$8,CMS_PL!G22*Assumptions!$E$26,CMS_PL!F22*Assumptions!$C$26)/Assumptions!$B$5</f>
        <v>95.3509433962264</v>
      </c>
      <c r="J22" s="38" t="n">
        <f aca="false">IF($C22&gt;=Assumptions!$B$8,CMS_PL!H22*Assumptions!$E$27,CMS_PL!H22*Assumptions!$C$27)/Assumptions!$B$5</f>
        <v>12.311320754717</v>
      </c>
      <c r="K22" s="38" t="n">
        <f aca="false">IF($C22&gt;=Assumptions!$B$8,CMS_PL!H22*Assumptions!$E$28,CMS_PL!H22*Assumptions!$C$28)/Assumptions!$B$5</f>
        <v>30.7783018867925</v>
      </c>
      <c r="L22" s="38" t="n">
        <f aca="false">IF($C22&gt;=Assumptions!$B$8,CMS_PL!H22*Assumptions!$E$29,CMS_PL!H22*Assumptions!$C$29)/Assumptions!$B$5</f>
        <v>36.933962264151</v>
      </c>
      <c r="M22" s="38" t="n">
        <f aca="false">IF($C22&gt;=Assumptions!$B$8,CMS_PL!H22*Assumptions!$E$30,CMS_PL!H22*Assumptions!$C$30)/Assumptions!$B$5</f>
        <v>61.5566037735849</v>
      </c>
      <c r="N22" s="38" t="n">
        <f aca="false">IF($C22&gt;=Assumptions!$B$8,CMS_PL!H22*Assumptions!$E$31,CMS_PL!H22*Assumptions!$C$31)/Assumptions!$B$5</f>
        <v>123.11320754717</v>
      </c>
      <c r="O22" s="38" t="n">
        <f aca="false">IF($C22&gt;=Assumptions!$B$8,CMS_PL!K22*Assumptions!$E$32,CMS_PL!I22*Assumptions!$C$32)/Assumptions!$B$5</f>
        <v>5.9311320754717</v>
      </c>
      <c r="P22" s="38" t="n">
        <f aca="false">IF($C22&gt;=Assumptions!$B$8,CMS_PL!K22*Assumptions!$E$33,CMS_PL!J22*Assumptions!$C$33)/Assumptions!$B$5</f>
        <v>11.2216981132075</v>
      </c>
    </row>
    <row r="23" customFormat="false" ht="15" hidden="false" customHeight="false" outlineLevel="0" collapsed="false">
      <c r="A23" s="8" t="str">
        <f aca="false">CMS_PL!A23</f>
        <v>2020-Q2</v>
      </c>
      <c r="B23" s="8" t="str">
        <f aca="false">CMS_PL!B23</f>
        <v>2020</v>
      </c>
      <c r="C23" s="37" t="n">
        <f aca="false">CMS_PL!D23</f>
        <v>2020.25</v>
      </c>
      <c r="D23" s="7" t="str">
        <f aca="false">IF(C23&gt;=Assumptions!$B$8,"New code","Old code")</f>
        <v>Old code</v>
      </c>
      <c r="E23" s="38" t="n">
        <f aca="false">IF($C23&gt;=Assumptions!$B$8,CMS_PL!G23*Assumptions!$E$22,CMS_PL!E23*Assumptions!$C$22)/Assumptions!$B$5</f>
        <v>4.22452830188679</v>
      </c>
      <c r="F23" s="38" t="n">
        <f aca="false">IF($C23&gt;=Assumptions!$B$8,CMS_PL!G23*Assumptions!$E$23,CMS_PL!F23*Assumptions!$C$23)/Assumptions!$B$5</f>
        <v>6.03018867924528</v>
      </c>
      <c r="G23" s="38" t="n">
        <f aca="false">IF($C23&gt;=Assumptions!$B$8,CMS_PL!G23*Assumptions!$E$24,CMS_PL!F23*Assumptions!$C$24)/Assumptions!$B$5</f>
        <v>24.1207547169811</v>
      </c>
      <c r="H23" s="38" t="n">
        <f aca="false">IF($C23&gt;=Assumptions!$B$8,CMS_PL!G23*Assumptions!$E$25,CMS_PL!F23*Assumptions!$C$25)/Assumptions!$B$5</f>
        <v>48.2415094339623</v>
      </c>
      <c r="I23" s="38" t="n">
        <f aca="false">IF($C23&gt;=Assumptions!$B$8,CMS_PL!G23*Assumptions!$E$26,CMS_PL!F23*Assumptions!$C$26)/Assumptions!$B$5</f>
        <v>96.4830188679245</v>
      </c>
      <c r="J23" s="38" t="n">
        <f aca="false">IF($C23&gt;=Assumptions!$B$8,CMS_PL!H23*Assumptions!$E$27,CMS_PL!H23*Assumptions!$C$27)/Assumptions!$B$5</f>
        <v>12.1660377358491</v>
      </c>
      <c r="K23" s="38" t="n">
        <f aca="false">IF($C23&gt;=Assumptions!$B$8,CMS_PL!H23*Assumptions!$E$28,CMS_PL!H23*Assumptions!$C$28)/Assumptions!$B$5</f>
        <v>30.4150943396226</v>
      </c>
      <c r="L23" s="38" t="n">
        <f aca="false">IF($C23&gt;=Assumptions!$B$8,CMS_PL!H23*Assumptions!$E$29,CMS_PL!H23*Assumptions!$C$29)/Assumptions!$B$5</f>
        <v>36.4981132075472</v>
      </c>
      <c r="M23" s="38" t="n">
        <f aca="false">IF($C23&gt;=Assumptions!$B$8,CMS_PL!H23*Assumptions!$E$30,CMS_PL!H23*Assumptions!$C$30)/Assumptions!$B$5</f>
        <v>60.8301886792453</v>
      </c>
      <c r="N23" s="38" t="n">
        <f aca="false">IF($C23&gt;=Assumptions!$B$8,CMS_PL!H23*Assumptions!$E$31,CMS_PL!H23*Assumptions!$C$31)/Assumptions!$B$5</f>
        <v>121.660377358491</v>
      </c>
      <c r="O23" s="38" t="n">
        <f aca="false">IF($C23&gt;=Assumptions!$B$8,CMS_PL!K23*Assumptions!$E$32,CMS_PL!I23*Assumptions!$C$32)/Assumptions!$B$5</f>
        <v>5.70471698113208</v>
      </c>
      <c r="P23" s="38" t="n">
        <f aca="false">IF($C23&gt;=Assumptions!$B$8,CMS_PL!K23*Assumptions!$E$33,CMS_PL!J23*Assumptions!$C$33)/Assumptions!$B$5</f>
        <v>10.9716981132075</v>
      </c>
    </row>
    <row r="24" customFormat="false" ht="15" hidden="false" customHeight="false" outlineLevel="0" collapsed="false">
      <c r="A24" s="8" t="str">
        <f aca="false">CMS_PL!A24</f>
        <v>2020-Q3</v>
      </c>
      <c r="B24" s="8" t="str">
        <f aca="false">CMS_PL!B24</f>
        <v>2020</v>
      </c>
      <c r="C24" s="37" t="n">
        <f aca="false">CMS_PL!D24</f>
        <v>2020.5</v>
      </c>
      <c r="D24" s="7" t="str">
        <f aca="false">IF(C24&gt;=Assumptions!$B$8,"New code","Old code")</f>
        <v>Old code</v>
      </c>
      <c r="E24" s="38" t="n">
        <f aca="false">IF($C24&gt;=Assumptions!$B$8,CMS_PL!G24*Assumptions!$E$22,CMS_PL!E24*Assumptions!$C$22)/Assumptions!$B$5</f>
        <v>4.26037735849057</v>
      </c>
      <c r="F24" s="38" t="n">
        <f aca="false">IF($C24&gt;=Assumptions!$B$8,CMS_PL!G24*Assumptions!$E$23,CMS_PL!F24*Assumptions!$C$23)/Assumptions!$B$5</f>
        <v>6.33584905660377</v>
      </c>
      <c r="G24" s="38" t="n">
        <f aca="false">IF($C24&gt;=Assumptions!$B$8,CMS_PL!G24*Assumptions!$E$24,CMS_PL!F24*Assumptions!$C$24)/Assumptions!$B$5</f>
        <v>25.3433962264151</v>
      </c>
      <c r="H24" s="38" t="n">
        <f aca="false">IF($C24&gt;=Assumptions!$B$8,CMS_PL!G24*Assumptions!$E$25,CMS_PL!F24*Assumptions!$C$25)/Assumptions!$B$5</f>
        <v>50.6867924528302</v>
      </c>
      <c r="I24" s="38" t="n">
        <f aca="false">IF($C24&gt;=Assumptions!$B$8,CMS_PL!G24*Assumptions!$E$26,CMS_PL!F24*Assumptions!$C$26)/Assumptions!$B$5</f>
        <v>101.37358490566</v>
      </c>
      <c r="J24" s="38" t="n">
        <f aca="false">IF($C24&gt;=Assumptions!$B$8,CMS_PL!H24*Assumptions!$E$27,CMS_PL!H24*Assumptions!$C$27)/Assumptions!$B$5</f>
        <v>13.3415094339623</v>
      </c>
      <c r="K24" s="38" t="n">
        <f aca="false">IF($C24&gt;=Assumptions!$B$8,CMS_PL!H24*Assumptions!$E$28,CMS_PL!H24*Assumptions!$C$28)/Assumptions!$B$5</f>
        <v>33.3537735849057</v>
      </c>
      <c r="L24" s="38" t="n">
        <f aca="false">IF($C24&gt;=Assumptions!$B$8,CMS_PL!H24*Assumptions!$E$29,CMS_PL!H24*Assumptions!$C$29)/Assumptions!$B$5</f>
        <v>40.0245283018868</v>
      </c>
      <c r="M24" s="38" t="n">
        <f aca="false">IF($C24&gt;=Assumptions!$B$8,CMS_PL!H24*Assumptions!$E$30,CMS_PL!H24*Assumptions!$C$30)/Assumptions!$B$5</f>
        <v>66.7075471698113</v>
      </c>
      <c r="N24" s="38" t="n">
        <f aca="false">IF($C24&gt;=Assumptions!$B$8,CMS_PL!H24*Assumptions!$E$31,CMS_PL!H24*Assumptions!$C$31)/Assumptions!$B$5</f>
        <v>133.415094339623</v>
      </c>
      <c r="O24" s="38" t="n">
        <f aca="false">IF($C24&gt;=Assumptions!$B$8,CMS_PL!K24*Assumptions!$E$32,CMS_PL!I24*Assumptions!$C$32)/Assumptions!$B$5</f>
        <v>5.74811320754717</v>
      </c>
      <c r="P24" s="38" t="n">
        <f aca="false">IF($C24&gt;=Assumptions!$B$8,CMS_PL!K24*Assumptions!$E$33,CMS_PL!J24*Assumptions!$C$33)/Assumptions!$B$5</f>
        <v>11.0358490566038</v>
      </c>
    </row>
    <row r="25" customFormat="false" ht="15" hidden="false" customHeight="false" outlineLevel="0" collapsed="false">
      <c r="A25" s="8" t="str">
        <f aca="false">CMS_PL!A25</f>
        <v>2020-Q4</v>
      </c>
      <c r="B25" s="8" t="str">
        <f aca="false">CMS_PL!B25</f>
        <v>2020</v>
      </c>
      <c r="C25" s="37" t="n">
        <f aca="false">CMS_PL!D25</f>
        <v>2020.75</v>
      </c>
      <c r="D25" s="7" t="str">
        <f aca="false">IF(C25&gt;=Assumptions!$B$8,"New code","Old code")</f>
        <v>Old code</v>
      </c>
      <c r="E25" s="38" t="n">
        <f aca="false">IF($C25&gt;=Assumptions!$B$8,CMS_PL!G25*Assumptions!$E$22,CMS_PL!E25*Assumptions!$C$22)/Assumptions!$B$5</f>
        <v>3.93490566037736</v>
      </c>
      <c r="F25" s="38" t="n">
        <f aca="false">IF($C25&gt;=Assumptions!$B$8,CMS_PL!G25*Assumptions!$E$23,CMS_PL!F25*Assumptions!$C$23)/Assumptions!$B$5</f>
        <v>5.31698113207547</v>
      </c>
      <c r="G25" s="38" t="n">
        <f aca="false">IF($C25&gt;=Assumptions!$B$8,CMS_PL!G25*Assumptions!$E$24,CMS_PL!F25*Assumptions!$C$24)/Assumptions!$B$5</f>
        <v>21.2679245283019</v>
      </c>
      <c r="H25" s="38" t="n">
        <f aca="false">IF($C25&gt;=Assumptions!$B$8,CMS_PL!G25*Assumptions!$E$25,CMS_PL!F25*Assumptions!$C$25)/Assumptions!$B$5</f>
        <v>42.5358490566038</v>
      </c>
      <c r="I25" s="38" t="n">
        <f aca="false">IF($C25&gt;=Assumptions!$B$8,CMS_PL!G25*Assumptions!$E$26,CMS_PL!F25*Assumptions!$C$26)/Assumptions!$B$5</f>
        <v>85.0716981132076</v>
      </c>
      <c r="J25" s="38" t="n">
        <f aca="false">IF($C25&gt;=Assumptions!$B$8,CMS_PL!H25*Assumptions!$E$27,CMS_PL!H25*Assumptions!$C$27)/Assumptions!$B$5</f>
        <v>13.35</v>
      </c>
      <c r="K25" s="38" t="n">
        <f aca="false">IF($C25&gt;=Assumptions!$B$8,CMS_PL!H25*Assumptions!$E$28,CMS_PL!H25*Assumptions!$C$28)/Assumptions!$B$5</f>
        <v>33.375</v>
      </c>
      <c r="L25" s="38" t="n">
        <f aca="false">IF($C25&gt;=Assumptions!$B$8,CMS_PL!H25*Assumptions!$E$29,CMS_PL!H25*Assumptions!$C$29)/Assumptions!$B$5</f>
        <v>40.05</v>
      </c>
      <c r="M25" s="38" t="n">
        <f aca="false">IF($C25&gt;=Assumptions!$B$8,CMS_PL!H25*Assumptions!$E$30,CMS_PL!H25*Assumptions!$C$30)/Assumptions!$B$5</f>
        <v>66.75</v>
      </c>
      <c r="N25" s="38" t="n">
        <f aca="false">IF($C25&gt;=Assumptions!$B$8,CMS_PL!H25*Assumptions!$E$31,CMS_PL!H25*Assumptions!$C$31)/Assumptions!$B$5</f>
        <v>133.5</v>
      </c>
      <c r="O25" s="38" t="n">
        <f aca="false">IF($C25&gt;=Assumptions!$B$8,CMS_PL!K25*Assumptions!$E$32,CMS_PL!I25*Assumptions!$C$32)/Assumptions!$B$5</f>
        <v>5.54716981132075</v>
      </c>
      <c r="P25" s="38" t="n">
        <f aca="false">IF($C25&gt;=Assumptions!$B$8,CMS_PL!K25*Assumptions!$E$33,CMS_PL!J25*Assumptions!$C$33)/Assumptions!$B$5</f>
        <v>10.5594339622642</v>
      </c>
    </row>
    <row r="26" customFormat="false" ht="15" hidden="false" customHeight="false" outlineLevel="0" collapsed="false">
      <c r="A26" s="8" t="str">
        <f aca="false">CMS_PL!A26</f>
        <v>2021-Q1</v>
      </c>
      <c r="B26" s="8" t="str">
        <f aca="false">CMS_PL!B26</f>
        <v>2021</v>
      </c>
      <c r="C26" s="37" t="n">
        <f aca="false">CMS_PL!D26</f>
        <v>2021</v>
      </c>
      <c r="D26" s="7" t="str">
        <f aca="false">IF(C26&gt;=Assumptions!$B$8,"New code","Old code")</f>
        <v>Old code</v>
      </c>
      <c r="E26" s="38" t="n">
        <f aca="false">IF($C26&gt;=Assumptions!$B$8,CMS_PL!G26*Assumptions!$E$22,CMS_PL!E26*Assumptions!$C$22)/Assumptions!$B$5</f>
        <v>4.12924528301887</v>
      </c>
      <c r="F26" s="38" t="n">
        <f aca="false">IF($C26&gt;=Assumptions!$B$8,CMS_PL!G26*Assumptions!$E$23,CMS_PL!F26*Assumptions!$C$23)/Assumptions!$B$5</f>
        <v>5.18018867924528</v>
      </c>
      <c r="G26" s="38" t="n">
        <f aca="false">IF($C26&gt;=Assumptions!$B$8,CMS_PL!G26*Assumptions!$E$24,CMS_PL!F26*Assumptions!$C$24)/Assumptions!$B$5</f>
        <v>20.7207547169811</v>
      </c>
      <c r="H26" s="38" t="n">
        <f aca="false">IF($C26&gt;=Assumptions!$B$8,CMS_PL!G26*Assumptions!$E$25,CMS_PL!F26*Assumptions!$C$25)/Assumptions!$B$5</f>
        <v>41.4415094339623</v>
      </c>
      <c r="I26" s="38" t="n">
        <f aca="false">IF($C26&gt;=Assumptions!$B$8,CMS_PL!G26*Assumptions!$E$26,CMS_PL!F26*Assumptions!$C$26)/Assumptions!$B$5</f>
        <v>82.8830188679245</v>
      </c>
      <c r="J26" s="38" t="n">
        <f aca="false">IF($C26&gt;=Assumptions!$B$8,CMS_PL!H26*Assumptions!$E$27,CMS_PL!H26*Assumptions!$C$27)/Assumptions!$B$5</f>
        <v>13.3528301886792</v>
      </c>
      <c r="K26" s="38" t="n">
        <f aca="false">IF($C26&gt;=Assumptions!$B$8,CMS_PL!H26*Assumptions!$E$28,CMS_PL!H26*Assumptions!$C$28)/Assumptions!$B$5</f>
        <v>33.3820754716981</v>
      </c>
      <c r="L26" s="38" t="n">
        <f aca="false">IF($C26&gt;=Assumptions!$B$8,CMS_PL!H26*Assumptions!$E$29,CMS_PL!H26*Assumptions!$C$29)/Assumptions!$B$5</f>
        <v>40.0584905660377</v>
      </c>
      <c r="M26" s="38" t="n">
        <f aca="false">IF($C26&gt;=Assumptions!$B$8,CMS_PL!H26*Assumptions!$E$30,CMS_PL!H26*Assumptions!$C$30)/Assumptions!$B$5</f>
        <v>66.7641509433962</v>
      </c>
      <c r="N26" s="38" t="n">
        <f aca="false">IF($C26&gt;=Assumptions!$B$8,CMS_PL!H26*Assumptions!$E$31,CMS_PL!H26*Assumptions!$C$31)/Assumptions!$B$5</f>
        <v>133.528301886792</v>
      </c>
      <c r="O26" s="38" t="n">
        <f aca="false">IF($C26&gt;=Assumptions!$B$8,CMS_PL!K26*Assumptions!$E$32,CMS_PL!I26*Assumptions!$C$32)/Assumptions!$B$5</f>
        <v>5.47547169811321</v>
      </c>
      <c r="P26" s="38" t="n">
        <f aca="false">IF($C26&gt;=Assumptions!$B$8,CMS_PL!K26*Assumptions!$E$33,CMS_PL!J26*Assumptions!$C$33)/Assumptions!$B$5</f>
        <v>10.1462264150943</v>
      </c>
    </row>
    <row r="27" customFormat="false" ht="15" hidden="false" customHeight="false" outlineLevel="0" collapsed="false">
      <c r="A27" s="8" t="str">
        <f aca="false">CMS_PL!A27</f>
        <v>2021-Q2</v>
      </c>
      <c r="B27" s="8" t="str">
        <f aca="false">CMS_PL!B27</f>
        <v>2021</v>
      </c>
      <c r="C27" s="37" t="n">
        <f aca="false">CMS_PL!D27</f>
        <v>2021.25</v>
      </c>
      <c r="D27" s="7" t="str">
        <f aca="false">IF(C27&gt;=Assumptions!$B$8,"New code","Old code")</f>
        <v>Old code</v>
      </c>
      <c r="E27" s="38" t="n">
        <f aca="false">IF($C27&gt;=Assumptions!$B$8,CMS_PL!G27*Assumptions!$E$22,CMS_PL!E27*Assumptions!$C$22)/Assumptions!$B$5</f>
        <v>4.03301886792453</v>
      </c>
      <c r="F27" s="38" t="n">
        <f aca="false">IF($C27&gt;=Assumptions!$B$8,CMS_PL!G27*Assumptions!$E$23,CMS_PL!F27*Assumptions!$C$23)/Assumptions!$B$5</f>
        <v>5.46509433962264</v>
      </c>
      <c r="G27" s="38" t="n">
        <f aca="false">IF($C27&gt;=Assumptions!$B$8,CMS_PL!G27*Assumptions!$E$24,CMS_PL!F27*Assumptions!$C$24)/Assumptions!$B$5</f>
        <v>21.8603773584906</v>
      </c>
      <c r="H27" s="38" t="n">
        <f aca="false">IF($C27&gt;=Assumptions!$B$8,CMS_PL!G27*Assumptions!$E$25,CMS_PL!F27*Assumptions!$C$25)/Assumptions!$B$5</f>
        <v>43.7207547169811</v>
      </c>
      <c r="I27" s="38" t="n">
        <f aca="false">IF($C27&gt;=Assumptions!$B$8,CMS_PL!G27*Assumptions!$E$26,CMS_PL!F27*Assumptions!$C$26)/Assumptions!$B$5</f>
        <v>87.4415094339623</v>
      </c>
      <c r="J27" s="38" t="n">
        <f aca="false">IF($C27&gt;=Assumptions!$B$8,CMS_PL!H27*Assumptions!$E$27,CMS_PL!H27*Assumptions!$C$27)/Assumptions!$B$5</f>
        <v>13.4028301886792</v>
      </c>
      <c r="K27" s="38" t="n">
        <f aca="false">IF($C27&gt;=Assumptions!$B$8,CMS_PL!H27*Assumptions!$E$28,CMS_PL!H27*Assumptions!$C$28)/Assumptions!$B$5</f>
        <v>33.5070754716981</v>
      </c>
      <c r="L27" s="38" t="n">
        <f aca="false">IF($C27&gt;=Assumptions!$B$8,CMS_PL!H27*Assumptions!$E$29,CMS_PL!H27*Assumptions!$C$29)/Assumptions!$B$5</f>
        <v>40.2084905660377</v>
      </c>
      <c r="M27" s="38" t="n">
        <f aca="false">IF($C27&gt;=Assumptions!$B$8,CMS_PL!H27*Assumptions!$E$30,CMS_PL!H27*Assumptions!$C$30)/Assumptions!$B$5</f>
        <v>67.0141509433962</v>
      </c>
      <c r="N27" s="38" t="n">
        <f aca="false">IF($C27&gt;=Assumptions!$B$8,CMS_PL!H27*Assumptions!$E$31,CMS_PL!H27*Assumptions!$C$31)/Assumptions!$B$5</f>
        <v>134.028301886792</v>
      </c>
      <c r="O27" s="38" t="n">
        <f aca="false">IF($C27&gt;=Assumptions!$B$8,CMS_PL!K27*Assumptions!$E$32,CMS_PL!I27*Assumptions!$C$32)/Assumptions!$B$5</f>
        <v>5.41037735849057</v>
      </c>
      <c r="P27" s="38" t="n">
        <f aca="false">IF($C27&gt;=Assumptions!$B$8,CMS_PL!K27*Assumptions!$E$33,CMS_PL!J27*Assumptions!$C$33)/Assumptions!$B$5</f>
        <v>10.1330188679245</v>
      </c>
    </row>
    <row r="28" customFormat="false" ht="15" hidden="false" customHeight="false" outlineLevel="0" collapsed="false">
      <c r="A28" s="8" t="str">
        <f aca="false">CMS_PL!A28</f>
        <v>2021-Q3</v>
      </c>
      <c r="B28" s="8" t="str">
        <f aca="false">CMS_PL!B28</f>
        <v>2021</v>
      </c>
      <c r="C28" s="37" t="n">
        <f aca="false">CMS_PL!D28</f>
        <v>2021.5</v>
      </c>
      <c r="D28" s="7" t="str">
        <f aca="false">IF(C28&gt;=Assumptions!$B$8,"New code","Old code")</f>
        <v>Old code</v>
      </c>
      <c r="E28" s="38" t="n">
        <f aca="false">IF($C28&gt;=Assumptions!$B$8,CMS_PL!G28*Assumptions!$E$22,CMS_PL!E28*Assumptions!$C$22)/Assumptions!$B$5</f>
        <v>3.79905660377358</v>
      </c>
      <c r="F28" s="38" t="n">
        <f aca="false">IF($C28&gt;=Assumptions!$B$8,CMS_PL!G28*Assumptions!$E$23,CMS_PL!F28*Assumptions!$C$23)/Assumptions!$B$5</f>
        <v>5.14245283018868</v>
      </c>
      <c r="G28" s="38" t="n">
        <f aca="false">IF($C28&gt;=Assumptions!$B$8,CMS_PL!G28*Assumptions!$E$24,CMS_PL!F28*Assumptions!$C$24)/Assumptions!$B$5</f>
        <v>20.5698113207547</v>
      </c>
      <c r="H28" s="38" t="n">
        <f aca="false">IF($C28&gt;=Assumptions!$B$8,CMS_PL!G28*Assumptions!$E$25,CMS_PL!F28*Assumptions!$C$25)/Assumptions!$B$5</f>
        <v>41.1396226415094</v>
      </c>
      <c r="I28" s="38" t="n">
        <f aca="false">IF($C28&gt;=Assumptions!$B$8,CMS_PL!G28*Assumptions!$E$26,CMS_PL!F28*Assumptions!$C$26)/Assumptions!$B$5</f>
        <v>82.2792452830189</v>
      </c>
      <c r="J28" s="38" t="n">
        <f aca="false">IF($C28&gt;=Assumptions!$B$8,CMS_PL!H28*Assumptions!$E$27,CMS_PL!H28*Assumptions!$C$27)/Assumptions!$B$5</f>
        <v>13.9377358490566</v>
      </c>
      <c r="K28" s="38" t="n">
        <f aca="false">IF($C28&gt;=Assumptions!$B$8,CMS_PL!H28*Assumptions!$E$28,CMS_PL!H28*Assumptions!$C$28)/Assumptions!$B$5</f>
        <v>34.8443396226415</v>
      </c>
      <c r="L28" s="38" t="n">
        <f aca="false">IF($C28&gt;=Assumptions!$B$8,CMS_PL!H28*Assumptions!$E$29,CMS_PL!H28*Assumptions!$C$29)/Assumptions!$B$5</f>
        <v>41.8132075471698</v>
      </c>
      <c r="M28" s="38" t="n">
        <f aca="false">IF($C28&gt;=Assumptions!$B$8,CMS_PL!H28*Assumptions!$E$30,CMS_PL!H28*Assumptions!$C$30)/Assumptions!$B$5</f>
        <v>69.688679245283</v>
      </c>
      <c r="N28" s="38" t="n">
        <f aca="false">IF($C28&gt;=Assumptions!$B$8,CMS_PL!H28*Assumptions!$E$31,CMS_PL!H28*Assumptions!$C$31)/Assumptions!$B$5</f>
        <v>139.377358490566</v>
      </c>
      <c r="O28" s="38" t="n">
        <f aca="false">IF($C28&gt;=Assumptions!$B$8,CMS_PL!K28*Assumptions!$E$32,CMS_PL!I28*Assumptions!$C$32)/Assumptions!$B$5</f>
        <v>5.23679245283019</v>
      </c>
      <c r="P28" s="38" t="n">
        <f aca="false">IF($C28&gt;=Assumptions!$B$8,CMS_PL!K28*Assumptions!$E$33,CMS_PL!J28*Assumptions!$C$33)/Assumptions!$B$5</f>
        <v>9.81981132075472</v>
      </c>
    </row>
    <row r="29" customFormat="false" ht="15" hidden="false" customHeight="false" outlineLevel="0" collapsed="false">
      <c r="A29" s="8" t="str">
        <f aca="false">CMS_PL!A29</f>
        <v>2021-Q4</v>
      </c>
      <c r="B29" s="8" t="str">
        <f aca="false">CMS_PL!B29</f>
        <v>2021</v>
      </c>
      <c r="C29" s="37" t="n">
        <f aca="false">CMS_PL!D29</f>
        <v>2021.75</v>
      </c>
      <c r="D29" s="7" t="str">
        <f aca="false">IF(C29&gt;=Assumptions!$B$8,"New code","Old code")</f>
        <v>Old code</v>
      </c>
      <c r="E29" s="38" t="n">
        <f aca="false">IF($C29&gt;=Assumptions!$B$8,CMS_PL!G29*Assumptions!$E$22,CMS_PL!E29*Assumptions!$C$22)/Assumptions!$B$5</f>
        <v>3.87547169811321</v>
      </c>
      <c r="F29" s="38" t="n">
        <f aca="false">IF($C29&gt;=Assumptions!$B$8,CMS_PL!G29*Assumptions!$E$23,CMS_PL!F29*Assumptions!$C$23)/Assumptions!$B$5</f>
        <v>5.25</v>
      </c>
      <c r="G29" s="38" t="n">
        <f aca="false">IF($C29&gt;=Assumptions!$B$8,CMS_PL!G29*Assumptions!$E$24,CMS_PL!F29*Assumptions!$C$24)/Assumptions!$B$5</f>
        <v>21</v>
      </c>
      <c r="H29" s="38" t="n">
        <f aca="false">IF($C29&gt;=Assumptions!$B$8,CMS_PL!G29*Assumptions!$E$25,CMS_PL!F29*Assumptions!$C$25)/Assumptions!$B$5</f>
        <v>42</v>
      </c>
      <c r="I29" s="38" t="n">
        <f aca="false">IF($C29&gt;=Assumptions!$B$8,CMS_PL!G29*Assumptions!$E$26,CMS_PL!F29*Assumptions!$C$26)/Assumptions!$B$5</f>
        <v>84</v>
      </c>
      <c r="J29" s="38" t="n">
        <f aca="false">IF($C29&gt;=Assumptions!$B$8,CMS_PL!H29*Assumptions!$E$27,CMS_PL!H29*Assumptions!$C$27)/Assumptions!$B$5</f>
        <v>13.972641509434</v>
      </c>
      <c r="K29" s="38" t="n">
        <f aca="false">IF($C29&gt;=Assumptions!$B$8,CMS_PL!H29*Assumptions!$E$28,CMS_PL!H29*Assumptions!$C$28)/Assumptions!$B$5</f>
        <v>34.9316037735849</v>
      </c>
      <c r="L29" s="38" t="n">
        <f aca="false">IF($C29&gt;=Assumptions!$B$8,CMS_PL!H29*Assumptions!$E$29,CMS_PL!H29*Assumptions!$C$29)/Assumptions!$B$5</f>
        <v>41.9179245283019</v>
      </c>
      <c r="M29" s="38" t="n">
        <f aca="false">IF($C29&gt;=Assumptions!$B$8,CMS_PL!H29*Assumptions!$E$30,CMS_PL!H29*Assumptions!$C$30)/Assumptions!$B$5</f>
        <v>69.8632075471698</v>
      </c>
      <c r="N29" s="38" t="n">
        <f aca="false">IF($C29&gt;=Assumptions!$B$8,CMS_PL!H29*Assumptions!$E$31,CMS_PL!H29*Assumptions!$C$31)/Assumptions!$B$5</f>
        <v>139.72641509434</v>
      </c>
      <c r="O29" s="38" t="n">
        <f aca="false">IF($C29&gt;=Assumptions!$B$8,CMS_PL!K29*Assumptions!$E$32,CMS_PL!I29*Assumptions!$C$32)/Assumptions!$B$5</f>
        <v>5.30660377358491</v>
      </c>
      <c r="P29" s="38" t="n">
        <f aca="false">IF($C29&gt;=Assumptions!$B$8,CMS_PL!K29*Assumptions!$E$33,CMS_PL!J29*Assumptions!$C$33)/Assumptions!$B$5</f>
        <v>10.0716981132075</v>
      </c>
    </row>
    <row r="30" customFormat="false" ht="15" hidden="false" customHeight="false" outlineLevel="0" collapsed="false">
      <c r="A30" s="8" t="str">
        <f aca="false">CMS_PL!A30</f>
        <v>2022-Q1</v>
      </c>
      <c r="B30" s="8" t="str">
        <f aca="false">CMS_PL!B30</f>
        <v>2022</v>
      </c>
      <c r="C30" s="37" t="n">
        <f aca="false">CMS_PL!D30</f>
        <v>2022</v>
      </c>
      <c r="D30" s="7" t="str">
        <f aca="false">IF(C30&gt;=Assumptions!$B$8,"New code","Old code")</f>
        <v>Old code</v>
      </c>
      <c r="E30" s="38" t="n">
        <f aca="false">IF($C30&gt;=Assumptions!$B$8,CMS_PL!G30*Assumptions!$E$22,CMS_PL!E30*Assumptions!$C$22)/Assumptions!$B$5</f>
        <v>3.98207547169811</v>
      </c>
      <c r="F30" s="38" t="n">
        <f aca="false">IF($C30&gt;=Assumptions!$B$8,CMS_PL!G30*Assumptions!$E$23,CMS_PL!F30*Assumptions!$C$23)/Assumptions!$B$5</f>
        <v>5.55660377358491</v>
      </c>
      <c r="G30" s="38" t="n">
        <f aca="false">IF($C30&gt;=Assumptions!$B$8,CMS_PL!G30*Assumptions!$E$24,CMS_PL!F30*Assumptions!$C$24)/Assumptions!$B$5</f>
        <v>22.2264150943396</v>
      </c>
      <c r="H30" s="38" t="n">
        <f aca="false">IF($C30&gt;=Assumptions!$B$8,CMS_PL!G30*Assumptions!$E$25,CMS_PL!F30*Assumptions!$C$25)/Assumptions!$B$5</f>
        <v>44.4528301886792</v>
      </c>
      <c r="I30" s="38" t="n">
        <f aca="false">IF($C30&gt;=Assumptions!$B$8,CMS_PL!G30*Assumptions!$E$26,CMS_PL!F30*Assumptions!$C$26)/Assumptions!$B$5</f>
        <v>88.9056603773585</v>
      </c>
      <c r="J30" s="38" t="n">
        <f aca="false">IF($C30&gt;=Assumptions!$B$8,CMS_PL!H30*Assumptions!$E$27,CMS_PL!H30*Assumptions!$C$27)/Assumptions!$B$5</f>
        <v>13.9254716981132</v>
      </c>
      <c r="K30" s="38" t="n">
        <f aca="false">IF($C30&gt;=Assumptions!$B$8,CMS_PL!H30*Assumptions!$E$28,CMS_PL!H30*Assumptions!$C$28)/Assumptions!$B$5</f>
        <v>34.813679245283</v>
      </c>
      <c r="L30" s="38" t="n">
        <f aca="false">IF($C30&gt;=Assumptions!$B$8,CMS_PL!H30*Assumptions!$E$29,CMS_PL!H30*Assumptions!$C$29)/Assumptions!$B$5</f>
        <v>41.7764150943396</v>
      </c>
      <c r="M30" s="38" t="n">
        <f aca="false">IF($C30&gt;=Assumptions!$B$8,CMS_PL!H30*Assumptions!$E$30,CMS_PL!H30*Assumptions!$C$30)/Assumptions!$B$5</f>
        <v>69.627358490566</v>
      </c>
      <c r="N30" s="38" t="n">
        <f aca="false">IF($C30&gt;=Assumptions!$B$8,CMS_PL!H30*Assumptions!$E$31,CMS_PL!H30*Assumptions!$C$31)/Assumptions!$B$5</f>
        <v>139.254716981132</v>
      </c>
      <c r="O30" s="38" t="n">
        <f aca="false">IF($C30&gt;=Assumptions!$B$8,CMS_PL!K30*Assumptions!$E$32,CMS_PL!I30*Assumptions!$C$32)/Assumptions!$B$5</f>
        <v>5.37547169811321</v>
      </c>
      <c r="P30" s="38" t="n">
        <f aca="false">IF($C30&gt;=Assumptions!$B$8,CMS_PL!K30*Assumptions!$E$33,CMS_PL!J30*Assumptions!$C$33)/Assumptions!$B$5</f>
        <v>11.1528301886792</v>
      </c>
    </row>
    <row r="31" customFormat="false" ht="15" hidden="false" customHeight="false" outlineLevel="0" collapsed="false">
      <c r="A31" s="8" t="str">
        <f aca="false">CMS_PL!A31</f>
        <v>2022-Q2</v>
      </c>
      <c r="B31" s="8" t="str">
        <f aca="false">CMS_PL!B31</f>
        <v>2022</v>
      </c>
      <c r="C31" s="37" t="n">
        <f aca="false">CMS_PL!D31</f>
        <v>2022.25</v>
      </c>
      <c r="D31" s="7" t="str">
        <f aca="false">IF(C31&gt;=Assumptions!$B$8,"New code","Old code")</f>
        <v>Old code</v>
      </c>
      <c r="E31" s="38" t="n">
        <f aca="false">IF($C31&gt;=Assumptions!$B$8,CMS_PL!G31*Assumptions!$E$22,CMS_PL!E31*Assumptions!$C$22)/Assumptions!$B$5</f>
        <v>4.00754716981132</v>
      </c>
      <c r="F31" s="38" t="n">
        <f aca="false">IF($C31&gt;=Assumptions!$B$8,CMS_PL!G31*Assumptions!$E$23,CMS_PL!F31*Assumptions!$C$23)/Assumptions!$B$5</f>
        <v>5.77358490566038</v>
      </c>
      <c r="G31" s="38" t="n">
        <f aca="false">IF($C31&gt;=Assumptions!$B$8,CMS_PL!G31*Assumptions!$E$24,CMS_PL!F31*Assumptions!$C$24)/Assumptions!$B$5</f>
        <v>23.0943396226415</v>
      </c>
      <c r="H31" s="38" t="n">
        <f aca="false">IF($C31&gt;=Assumptions!$B$8,CMS_PL!G31*Assumptions!$E$25,CMS_PL!F31*Assumptions!$C$25)/Assumptions!$B$5</f>
        <v>46.188679245283</v>
      </c>
      <c r="I31" s="38" t="n">
        <f aca="false">IF($C31&gt;=Assumptions!$B$8,CMS_PL!G31*Assumptions!$E$26,CMS_PL!F31*Assumptions!$C$26)/Assumptions!$B$5</f>
        <v>92.377358490566</v>
      </c>
      <c r="J31" s="38" t="n">
        <f aca="false">IF($C31&gt;=Assumptions!$B$8,CMS_PL!H31*Assumptions!$E$27,CMS_PL!H31*Assumptions!$C$27)/Assumptions!$B$5</f>
        <v>13.9084905660377</v>
      </c>
      <c r="K31" s="38" t="n">
        <f aca="false">IF($C31&gt;=Assumptions!$B$8,CMS_PL!H31*Assumptions!$E$28,CMS_PL!H31*Assumptions!$C$28)/Assumptions!$B$5</f>
        <v>34.7712264150943</v>
      </c>
      <c r="L31" s="38" t="n">
        <f aca="false">IF($C31&gt;=Assumptions!$B$8,CMS_PL!H31*Assumptions!$E$29,CMS_PL!H31*Assumptions!$C$29)/Assumptions!$B$5</f>
        <v>41.7254716981132</v>
      </c>
      <c r="M31" s="38" t="n">
        <f aca="false">IF($C31&gt;=Assumptions!$B$8,CMS_PL!H31*Assumptions!$E$30,CMS_PL!H31*Assumptions!$C$30)/Assumptions!$B$5</f>
        <v>69.5424528301887</v>
      </c>
      <c r="N31" s="38" t="n">
        <f aca="false">IF($C31&gt;=Assumptions!$B$8,CMS_PL!H31*Assumptions!$E$31,CMS_PL!H31*Assumptions!$C$31)/Assumptions!$B$5</f>
        <v>139.084905660377</v>
      </c>
      <c r="O31" s="38" t="n">
        <f aca="false">IF($C31&gt;=Assumptions!$B$8,CMS_PL!K31*Assumptions!$E$32,CMS_PL!I31*Assumptions!$C$32)/Assumptions!$B$5</f>
        <v>5.58018867924528</v>
      </c>
      <c r="P31" s="38" t="n">
        <f aca="false">IF($C31&gt;=Assumptions!$B$8,CMS_PL!K31*Assumptions!$E$33,CMS_PL!J31*Assumptions!$C$33)/Assumptions!$B$5</f>
        <v>9.92264150943396</v>
      </c>
    </row>
    <row r="32" customFormat="false" ht="15" hidden="false" customHeight="false" outlineLevel="0" collapsed="false">
      <c r="A32" s="8" t="str">
        <f aca="false">CMS_PL!A32</f>
        <v>2022-Q3</v>
      </c>
      <c r="B32" s="8" t="str">
        <f aca="false">CMS_PL!B32</f>
        <v>2022</v>
      </c>
      <c r="C32" s="37" t="n">
        <f aca="false">CMS_PL!D32</f>
        <v>2022.5</v>
      </c>
      <c r="D32" s="7" t="str">
        <f aca="false">IF(C32&gt;=Assumptions!$B$8,"New code","Old code")</f>
        <v>Old code</v>
      </c>
      <c r="E32" s="38" t="n">
        <f aca="false">IF($C32&gt;=Assumptions!$B$8,CMS_PL!G32*Assumptions!$E$22,CMS_PL!E32*Assumptions!$C$22)/Assumptions!$B$5</f>
        <v>3.95094339622641</v>
      </c>
      <c r="F32" s="38" t="n">
        <f aca="false">IF($C32&gt;=Assumptions!$B$8,CMS_PL!G32*Assumptions!$E$23,CMS_PL!F32*Assumptions!$C$23)/Assumptions!$B$5</f>
        <v>5.21132075471698</v>
      </c>
      <c r="G32" s="38" t="n">
        <f aca="false">IF($C32&gt;=Assumptions!$B$8,CMS_PL!G32*Assumptions!$E$24,CMS_PL!F32*Assumptions!$C$24)/Assumptions!$B$5</f>
        <v>20.8452830188679</v>
      </c>
      <c r="H32" s="38" t="n">
        <f aca="false">IF($C32&gt;=Assumptions!$B$8,CMS_PL!G32*Assumptions!$E$25,CMS_PL!F32*Assumptions!$C$25)/Assumptions!$B$5</f>
        <v>41.6905660377359</v>
      </c>
      <c r="I32" s="38" t="n">
        <f aca="false">IF($C32&gt;=Assumptions!$B$8,CMS_PL!G32*Assumptions!$E$26,CMS_PL!F32*Assumptions!$C$26)/Assumptions!$B$5</f>
        <v>83.3811320754717</v>
      </c>
      <c r="J32" s="38" t="n">
        <f aca="false">IF($C32&gt;=Assumptions!$B$8,CMS_PL!H32*Assumptions!$E$27,CMS_PL!H32*Assumptions!$C$27)/Assumptions!$B$5</f>
        <v>16.5792452830189</v>
      </c>
      <c r="K32" s="38" t="n">
        <f aca="false">IF($C32&gt;=Assumptions!$B$8,CMS_PL!H32*Assumptions!$E$28,CMS_PL!H32*Assumptions!$C$28)/Assumptions!$B$5</f>
        <v>41.4481132075472</v>
      </c>
      <c r="L32" s="38" t="n">
        <f aca="false">IF($C32&gt;=Assumptions!$B$8,CMS_PL!H32*Assumptions!$E$29,CMS_PL!H32*Assumptions!$C$29)/Assumptions!$B$5</f>
        <v>49.7377358490566</v>
      </c>
      <c r="M32" s="38" t="n">
        <f aca="false">IF($C32&gt;=Assumptions!$B$8,CMS_PL!H32*Assumptions!$E$30,CMS_PL!H32*Assumptions!$C$30)/Assumptions!$B$5</f>
        <v>82.8962264150943</v>
      </c>
      <c r="N32" s="38" t="n">
        <f aca="false">IF($C32&gt;=Assumptions!$B$8,CMS_PL!H32*Assumptions!$E$31,CMS_PL!H32*Assumptions!$C$31)/Assumptions!$B$5</f>
        <v>165.792452830189</v>
      </c>
      <c r="O32" s="38" t="n">
        <f aca="false">IF($C32&gt;=Assumptions!$B$8,CMS_PL!K32*Assumptions!$E$32,CMS_PL!I32*Assumptions!$C$32)/Assumptions!$B$5</f>
        <v>6.53396226415094</v>
      </c>
      <c r="P32" s="38" t="n">
        <f aca="false">IF($C32&gt;=Assumptions!$B$8,CMS_PL!K32*Assumptions!$E$33,CMS_PL!J32*Assumptions!$C$33)/Assumptions!$B$5</f>
        <v>9.85188679245283</v>
      </c>
    </row>
    <row r="33" customFormat="false" ht="15" hidden="false" customHeight="false" outlineLevel="0" collapsed="false">
      <c r="A33" s="8" t="str">
        <f aca="false">CMS_PL!A33</f>
        <v>2022-Q4</v>
      </c>
      <c r="B33" s="8" t="str">
        <f aca="false">CMS_PL!B33</f>
        <v>2022</v>
      </c>
      <c r="C33" s="37" t="n">
        <f aca="false">CMS_PL!D33</f>
        <v>2022.75</v>
      </c>
      <c r="D33" s="7" t="str">
        <f aca="false">IF(C33&gt;=Assumptions!$B$8,"New code","Old code")</f>
        <v>Old code</v>
      </c>
      <c r="E33" s="38" t="n">
        <f aca="false">IF($C33&gt;=Assumptions!$B$8,CMS_PL!G33*Assumptions!$E$22,CMS_PL!E33*Assumptions!$C$22)/Assumptions!$B$5</f>
        <v>4.03490566037736</v>
      </c>
      <c r="F33" s="38" t="n">
        <f aca="false">IF($C33&gt;=Assumptions!$B$8,CMS_PL!G33*Assumptions!$E$23,CMS_PL!F33*Assumptions!$C$23)/Assumptions!$B$5</f>
        <v>5.41698113207547</v>
      </c>
      <c r="G33" s="38" t="n">
        <f aca="false">IF($C33&gt;=Assumptions!$B$8,CMS_PL!G33*Assumptions!$E$24,CMS_PL!F33*Assumptions!$C$24)/Assumptions!$B$5</f>
        <v>21.6679245283019</v>
      </c>
      <c r="H33" s="38" t="n">
        <f aca="false">IF($C33&gt;=Assumptions!$B$8,CMS_PL!G33*Assumptions!$E$25,CMS_PL!F33*Assumptions!$C$25)/Assumptions!$B$5</f>
        <v>43.3358490566038</v>
      </c>
      <c r="I33" s="38" t="n">
        <f aca="false">IF($C33&gt;=Assumptions!$B$8,CMS_PL!G33*Assumptions!$E$26,CMS_PL!F33*Assumptions!$C$26)/Assumptions!$B$5</f>
        <v>86.6716981132075</v>
      </c>
      <c r="J33" s="38" t="n">
        <f aca="false">IF($C33&gt;=Assumptions!$B$8,CMS_PL!H33*Assumptions!$E$27,CMS_PL!H33*Assumptions!$C$27)/Assumptions!$B$5</f>
        <v>16.8622641509434</v>
      </c>
      <c r="K33" s="38" t="n">
        <f aca="false">IF($C33&gt;=Assumptions!$B$8,CMS_PL!H33*Assumptions!$E$28,CMS_PL!H33*Assumptions!$C$28)/Assumptions!$B$5</f>
        <v>42.1556603773585</v>
      </c>
      <c r="L33" s="38" t="n">
        <f aca="false">IF($C33&gt;=Assumptions!$B$8,CMS_PL!H33*Assumptions!$E$29,CMS_PL!H33*Assumptions!$C$29)/Assumptions!$B$5</f>
        <v>50.5867924528302</v>
      </c>
      <c r="M33" s="38" t="n">
        <f aca="false">IF($C33&gt;=Assumptions!$B$8,CMS_PL!H33*Assumptions!$E$30,CMS_PL!H33*Assumptions!$C$30)/Assumptions!$B$5</f>
        <v>84.311320754717</v>
      </c>
      <c r="N33" s="38" t="n">
        <f aca="false">IF($C33&gt;=Assumptions!$B$8,CMS_PL!H33*Assumptions!$E$31,CMS_PL!H33*Assumptions!$C$31)/Assumptions!$B$5</f>
        <v>168.622641509434</v>
      </c>
      <c r="O33" s="38" t="n">
        <f aca="false">IF($C33&gt;=Assumptions!$B$8,CMS_PL!K33*Assumptions!$E$32,CMS_PL!I33*Assumptions!$C$32)/Assumptions!$B$5</f>
        <v>7.03018867924528</v>
      </c>
      <c r="P33" s="38" t="n">
        <f aca="false">IF($C33&gt;=Assumptions!$B$8,CMS_PL!K33*Assumptions!$E$33,CMS_PL!J33*Assumptions!$C$33)/Assumptions!$B$5</f>
        <v>10.9349056603774</v>
      </c>
    </row>
    <row r="34" customFormat="false" ht="15" hidden="false" customHeight="false" outlineLevel="0" collapsed="false">
      <c r="A34" s="8" t="str">
        <f aca="false">CMS_PL!A34</f>
        <v>2023-Q1</v>
      </c>
      <c r="B34" s="8" t="str">
        <f aca="false">CMS_PL!B34</f>
        <v>2023</v>
      </c>
      <c r="C34" s="37" t="n">
        <f aca="false">CMS_PL!D34</f>
        <v>2023</v>
      </c>
      <c r="D34" s="7" t="str">
        <f aca="false">IF(C34&gt;=Assumptions!$B$8,"New code","Old code")</f>
        <v>Old code</v>
      </c>
      <c r="E34" s="38" t="n">
        <f aca="false">IF($C34&gt;=Assumptions!$B$8,CMS_PL!G34*Assumptions!$E$22,CMS_PL!E34*Assumptions!$C$22)/Assumptions!$B$5</f>
        <v>3.84811320754717</v>
      </c>
      <c r="F34" s="38" t="n">
        <f aca="false">IF($C34&gt;=Assumptions!$B$8,CMS_PL!G34*Assumptions!$E$23,CMS_PL!F34*Assumptions!$C$23)/Assumptions!$B$5</f>
        <v>5.6122641509434</v>
      </c>
      <c r="G34" s="38" t="n">
        <f aca="false">IF($C34&gt;=Assumptions!$B$8,CMS_PL!G34*Assumptions!$E$24,CMS_PL!F34*Assumptions!$C$24)/Assumptions!$B$5</f>
        <v>22.4490566037736</v>
      </c>
      <c r="H34" s="38" t="n">
        <f aca="false">IF($C34&gt;=Assumptions!$B$8,CMS_PL!G34*Assumptions!$E$25,CMS_PL!F34*Assumptions!$C$25)/Assumptions!$B$5</f>
        <v>44.8981132075472</v>
      </c>
      <c r="I34" s="38" t="n">
        <f aca="false">IF($C34&gt;=Assumptions!$B$8,CMS_PL!G34*Assumptions!$E$26,CMS_PL!F34*Assumptions!$C$26)/Assumptions!$B$5</f>
        <v>89.7962264150943</v>
      </c>
      <c r="J34" s="38" t="n">
        <f aca="false">IF($C34&gt;=Assumptions!$B$8,CMS_PL!H34*Assumptions!$E$27,CMS_PL!H34*Assumptions!$C$27)/Assumptions!$B$5</f>
        <v>16.8688679245283</v>
      </c>
      <c r="K34" s="38" t="n">
        <f aca="false">IF($C34&gt;=Assumptions!$B$8,CMS_PL!H34*Assumptions!$E$28,CMS_PL!H34*Assumptions!$C$28)/Assumptions!$B$5</f>
        <v>42.1721698113208</v>
      </c>
      <c r="L34" s="38" t="n">
        <f aca="false">IF($C34&gt;=Assumptions!$B$8,CMS_PL!H34*Assumptions!$E$29,CMS_PL!H34*Assumptions!$C$29)/Assumptions!$B$5</f>
        <v>50.6066037735849</v>
      </c>
      <c r="M34" s="38" t="n">
        <f aca="false">IF($C34&gt;=Assumptions!$B$8,CMS_PL!H34*Assumptions!$E$30,CMS_PL!H34*Assumptions!$C$30)/Assumptions!$B$5</f>
        <v>84.3443396226415</v>
      </c>
      <c r="N34" s="38" t="n">
        <f aca="false">IF($C34&gt;=Assumptions!$B$8,CMS_PL!H34*Assumptions!$E$31,CMS_PL!H34*Assumptions!$C$31)/Assumptions!$B$5</f>
        <v>168.688679245283</v>
      </c>
      <c r="O34" s="38" t="n">
        <f aca="false">IF($C34&gt;=Assumptions!$B$8,CMS_PL!K34*Assumptions!$E$32,CMS_PL!I34*Assumptions!$C$32)/Assumptions!$B$5</f>
        <v>7.59905660377358</v>
      </c>
      <c r="P34" s="38" t="n">
        <f aca="false">IF($C34&gt;=Assumptions!$B$8,CMS_PL!K34*Assumptions!$E$33,CMS_PL!J34*Assumptions!$C$33)/Assumptions!$B$5</f>
        <v>11.5254716981132</v>
      </c>
    </row>
    <row r="35" customFormat="false" ht="15" hidden="false" customHeight="false" outlineLevel="0" collapsed="false">
      <c r="A35" s="8" t="str">
        <f aca="false">CMS_PL!A35</f>
        <v>2023-Q2</v>
      </c>
      <c r="B35" s="8" t="str">
        <f aca="false">CMS_PL!B35</f>
        <v>2023</v>
      </c>
      <c r="C35" s="37" t="n">
        <f aca="false">CMS_PL!D35</f>
        <v>2023.25</v>
      </c>
      <c r="D35" s="7" t="str">
        <f aca="false">IF(C35&gt;=Assumptions!$B$8,"New code","Old code")</f>
        <v>Old code</v>
      </c>
      <c r="E35" s="38" t="n">
        <f aca="false">IF($C35&gt;=Assumptions!$B$8,CMS_PL!G35*Assumptions!$E$22,CMS_PL!E35*Assumptions!$C$22)/Assumptions!$B$5</f>
        <v>3.89716981132076</v>
      </c>
      <c r="F35" s="38" t="n">
        <f aca="false">IF($C35&gt;=Assumptions!$B$8,CMS_PL!G35*Assumptions!$E$23,CMS_PL!F35*Assumptions!$C$23)/Assumptions!$B$5</f>
        <v>5.15754716981132</v>
      </c>
      <c r="G35" s="38" t="n">
        <f aca="false">IF($C35&gt;=Assumptions!$B$8,CMS_PL!G35*Assumptions!$E$24,CMS_PL!F35*Assumptions!$C$24)/Assumptions!$B$5</f>
        <v>20.6301886792453</v>
      </c>
      <c r="H35" s="38" t="n">
        <f aca="false">IF($C35&gt;=Assumptions!$B$8,CMS_PL!G35*Assumptions!$E$25,CMS_PL!F35*Assumptions!$C$25)/Assumptions!$B$5</f>
        <v>41.2603773584906</v>
      </c>
      <c r="I35" s="38" t="n">
        <f aca="false">IF($C35&gt;=Assumptions!$B$8,CMS_PL!G35*Assumptions!$E$26,CMS_PL!F35*Assumptions!$C$26)/Assumptions!$B$5</f>
        <v>82.5207547169811</v>
      </c>
      <c r="J35" s="38" t="n">
        <f aca="false">IF($C35&gt;=Assumptions!$B$8,CMS_PL!H35*Assumptions!$E$27,CMS_PL!H35*Assumptions!$C$27)/Assumptions!$B$5</f>
        <v>16.8971698113208</v>
      </c>
      <c r="K35" s="38" t="n">
        <f aca="false">IF($C35&gt;=Assumptions!$B$8,CMS_PL!H35*Assumptions!$E$28,CMS_PL!H35*Assumptions!$C$28)/Assumptions!$B$5</f>
        <v>42.2429245283019</v>
      </c>
      <c r="L35" s="38" t="n">
        <f aca="false">IF($C35&gt;=Assumptions!$B$8,CMS_PL!H35*Assumptions!$E$29,CMS_PL!H35*Assumptions!$C$29)/Assumptions!$B$5</f>
        <v>50.6915094339623</v>
      </c>
      <c r="M35" s="38" t="n">
        <f aca="false">IF($C35&gt;=Assumptions!$B$8,CMS_PL!H35*Assumptions!$E$30,CMS_PL!H35*Assumptions!$C$30)/Assumptions!$B$5</f>
        <v>84.4858490566038</v>
      </c>
      <c r="N35" s="38" t="n">
        <f aca="false">IF($C35&gt;=Assumptions!$B$8,CMS_PL!H35*Assumptions!$E$31,CMS_PL!H35*Assumptions!$C$31)/Assumptions!$B$5</f>
        <v>168.971698113208</v>
      </c>
      <c r="O35" s="38" t="n">
        <f aca="false">IF($C35&gt;=Assumptions!$B$8,CMS_PL!K35*Assumptions!$E$32,CMS_PL!I35*Assumptions!$C$32)/Assumptions!$B$5</f>
        <v>7.62641509433962</v>
      </c>
      <c r="P35" s="38" t="n">
        <f aca="false">IF($C35&gt;=Assumptions!$B$8,CMS_PL!K35*Assumptions!$E$33,CMS_PL!J35*Assumptions!$C$33)/Assumptions!$B$5</f>
        <v>12.0254716981132</v>
      </c>
    </row>
    <row r="36" customFormat="false" ht="15" hidden="false" customHeight="false" outlineLevel="0" collapsed="false">
      <c r="A36" s="8" t="str">
        <f aca="false">CMS_PL!A36</f>
        <v>2023-Q3</v>
      </c>
      <c r="B36" s="8" t="str">
        <f aca="false">CMS_PL!B36</f>
        <v>2023</v>
      </c>
      <c r="C36" s="37" t="n">
        <f aca="false">CMS_PL!D36</f>
        <v>2023.5</v>
      </c>
      <c r="D36" s="7" t="str">
        <f aca="false">IF(C36&gt;=Assumptions!$B$8,"New code","Old code")</f>
        <v>Old code</v>
      </c>
      <c r="E36" s="38" t="n">
        <f aca="false">IF($C36&gt;=Assumptions!$B$8,CMS_PL!G36*Assumptions!$E$22,CMS_PL!E36*Assumptions!$C$22)/Assumptions!$B$5</f>
        <v>3.99716981132075</v>
      </c>
      <c r="F36" s="38" t="n">
        <f aca="false">IF($C36&gt;=Assumptions!$B$8,CMS_PL!G36*Assumptions!$E$23,CMS_PL!F36*Assumptions!$C$23)/Assumptions!$B$5</f>
        <v>5.40094339622641</v>
      </c>
      <c r="G36" s="38" t="n">
        <f aca="false">IF($C36&gt;=Assumptions!$B$8,CMS_PL!G36*Assumptions!$E$24,CMS_PL!F36*Assumptions!$C$24)/Assumptions!$B$5</f>
        <v>21.6037735849057</v>
      </c>
      <c r="H36" s="38" t="n">
        <f aca="false">IF($C36&gt;=Assumptions!$B$8,CMS_PL!G36*Assumptions!$E$25,CMS_PL!F36*Assumptions!$C$25)/Assumptions!$B$5</f>
        <v>43.2075471698113</v>
      </c>
      <c r="I36" s="38" t="n">
        <f aca="false">IF($C36&gt;=Assumptions!$B$8,CMS_PL!G36*Assumptions!$E$26,CMS_PL!F36*Assumptions!$C$26)/Assumptions!$B$5</f>
        <v>86.4150943396226</v>
      </c>
      <c r="J36" s="38" t="n">
        <f aca="false">IF($C36&gt;=Assumptions!$B$8,CMS_PL!H36*Assumptions!$E$27,CMS_PL!H36*Assumptions!$C$27)/Assumptions!$B$5</f>
        <v>16.522641509434</v>
      </c>
      <c r="K36" s="38" t="n">
        <f aca="false">IF($C36&gt;=Assumptions!$B$8,CMS_PL!H36*Assumptions!$E$28,CMS_PL!H36*Assumptions!$C$28)/Assumptions!$B$5</f>
        <v>41.3066037735849</v>
      </c>
      <c r="L36" s="38" t="n">
        <f aca="false">IF($C36&gt;=Assumptions!$B$8,CMS_PL!H36*Assumptions!$E$29,CMS_PL!H36*Assumptions!$C$29)/Assumptions!$B$5</f>
        <v>49.5679245283019</v>
      </c>
      <c r="M36" s="38" t="n">
        <f aca="false">IF($C36&gt;=Assumptions!$B$8,CMS_PL!H36*Assumptions!$E$30,CMS_PL!H36*Assumptions!$C$30)/Assumptions!$B$5</f>
        <v>82.6132075471698</v>
      </c>
      <c r="N36" s="38" t="n">
        <f aca="false">IF($C36&gt;=Assumptions!$B$8,CMS_PL!H36*Assumptions!$E$31,CMS_PL!H36*Assumptions!$C$31)/Assumptions!$B$5</f>
        <v>165.22641509434</v>
      </c>
      <c r="O36" s="38" t="n">
        <f aca="false">IF($C36&gt;=Assumptions!$B$8,CMS_PL!K36*Assumptions!$E$32,CMS_PL!I36*Assumptions!$C$32)/Assumptions!$B$5</f>
        <v>7.18207547169811</v>
      </c>
      <c r="P36" s="38" t="n">
        <f aca="false">IF($C36&gt;=Assumptions!$B$8,CMS_PL!K36*Assumptions!$E$33,CMS_PL!J36*Assumptions!$C$33)/Assumptions!$B$5</f>
        <v>11.2358490566038</v>
      </c>
    </row>
    <row r="37" customFormat="false" ht="15" hidden="false" customHeight="false" outlineLevel="0" collapsed="false">
      <c r="A37" s="8" t="str">
        <f aca="false">CMS_PL!A37</f>
        <v>2023-Q4</v>
      </c>
      <c r="B37" s="8" t="str">
        <f aca="false">CMS_PL!B37</f>
        <v>2023</v>
      </c>
      <c r="C37" s="37" t="n">
        <f aca="false">CMS_PL!D37</f>
        <v>2023.75</v>
      </c>
      <c r="D37" s="7" t="str">
        <f aca="false">IF(C37&gt;=Assumptions!$B$8,"New code","Old code")</f>
        <v>Old code</v>
      </c>
      <c r="E37" s="38" t="n">
        <f aca="false">IF($C37&gt;=Assumptions!$B$8,CMS_PL!G37*Assumptions!$E$22,CMS_PL!E37*Assumptions!$C$22)/Assumptions!$B$5</f>
        <v>3.23867924528302</v>
      </c>
      <c r="F37" s="38" t="n">
        <f aca="false">IF($C37&gt;=Assumptions!$B$8,CMS_PL!G37*Assumptions!$E$23,CMS_PL!F37*Assumptions!$C$23)/Assumptions!$B$5</f>
        <v>4.70283018867925</v>
      </c>
      <c r="G37" s="38" t="n">
        <f aca="false">IF($C37&gt;=Assumptions!$B$8,CMS_PL!G37*Assumptions!$E$24,CMS_PL!F37*Assumptions!$C$24)/Assumptions!$B$5</f>
        <v>18.811320754717</v>
      </c>
      <c r="H37" s="38" t="n">
        <f aca="false">IF($C37&gt;=Assumptions!$B$8,CMS_PL!G37*Assumptions!$E$25,CMS_PL!F37*Assumptions!$C$25)/Assumptions!$B$5</f>
        <v>37.622641509434</v>
      </c>
      <c r="I37" s="38" t="n">
        <f aca="false">IF($C37&gt;=Assumptions!$B$8,CMS_PL!G37*Assumptions!$E$26,CMS_PL!F37*Assumptions!$C$26)/Assumptions!$B$5</f>
        <v>75.2452830188679</v>
      </c>
      <c r="J37" s="38" t="n">
        <f aca="false">IF($C37&gt;=Assumptions!$B$8,CMS_PL!H37*Assumptions!$E$27,CMS_PL!H37*Assumptions!$C$27)/Assumptions!$B$5</f>
        <v>16.6716981132075</v>
      </c>
      <c r="K37" s="38" t="n">
        <f aca="false">IF($C37&gt;=Assumptions!$B$8,CMS_PL!H37*Assumptions!$E$28,CMS_PL!H37*Assumptions!$C$28)/Assumptions!$B$5</f>
        <v>41.6792452830189</v>
      </c>
      <c r="L37" s="38" t="n">
        <f aca="false">IF($C37&gt;=Assumptions!$B$8,CMS_PL!H37*Assumptions!$E$29,CMS_PL!H37*Assumptions!$C$29)/Assumptions!$B$5</f>
        <v>50.0150943396226</v>
      </c>
      <c r="M37" s="38" t="n">
        <f aca="false">IF($C37&gt;=Assumptions!$B$8,CMS_PL!H37*Assumptions!$E$30,CMS_PL!H37*Assumptions!$C$30)/Assumptions!$B$5</f>
        <v>83.3584905660377</v>
      </c>
      <c r="N37" s="38" t="n">
        <f aca="false">IF($C37&gt;=Assumptions!$B$8,CMS_PL!H37*Assumptions!$E$31,CMS_PL!H37*Assumptions!$C$31)/Assumptions!$B$5</f>
        <v>166.716981132075</v>
      </c>
      <c r="O37" s="38" t="n">
        <f aca="false">IF($C37&gt;=Assumptions!$B$8,CMS_PL!K37*Assumptions!$E$32,CMS_PL!I37*Assumptions!$C$32)/Assumptions!$B$5</f>
        <v>6.79433962264151</v>
      </c>
      <c r="P37" s="38" t="n">
        <f aca="false">IF($C37&gt;=Assumptions!$B$8,CMS_PL!K37*Assumptions!$E$33,CMS_PL!J37*Assumptions!$C$33)/Assumptions!$B$5</f>
        <v>10.1481132075472</v>
      </c>
    </row>
    <row r="38" customFormat="false" ht="15" hidden="false" customHeight="false" outlineLevel="0" collapsed="false">
      <c r="A38" s="8" t="str">
        <f aca="false">CMS_PL!A38</f>
        <v>2024-Q1</v>
      </c>
      <c r="B38" s="8" t="str">
        <f aca="false">CMS_PL!B38</f>
        <v>2024</v>
      </c>
      <c r="C38" s="37" t="n">
        <f aca="false">CMS_PL!D38</f>
        <v>2024</v>
      </c>
      <c r="D38" s="7" t="str">
        <f aca="false">IF(C38&gt;=Assumptions!$B$8,"New code","Old code")</f>
        <v>Old code</v>
      </c>
      <c r="E38" s="38" t="n">
        <f aca="false">IF($C38&gt;=Assumptions!$B$8,CMS_PL!G38*Assumptions!$E$22,CMS_PL!E38*Assumptions!$C$22)/Assumptions!$B$5</f>
        <v>3.95094339622641</v>
      </c>
      <c r="F38" s="38" t="n">
        <f aca="false">IF($C38&gt;=Assumptions!$B$8,CMS_PL!G38*Assumptions!$E$23,CMS_PL!F38*Assumptions!$C$23)/Assumptions!$B$5</f>
        <v>5.54905660377358</v>
      </c>
      <c r="G38" s="38" t="n">
        <f aca="false">IF($C38&gt;=Assumptions!$B$8,CMS_PL!G38*Assumptions!$E$24,CMS_PL!F38*Assumptions!$C$24)/Assumptions!$B$5</f>
        <v>22.1962264150943</v>
      </c>
      <c r="H38" s="38" t="n">
        <f aca="false">IF($C38&gt;=Assumptions!$B$8,CMS_PL!G38*Assumptions!$E$25,CMS_PL!F38*Assumptions!$C$25)/Assumptions!$B$5</f>
        <v>44.3924528301887</v>
      </c>
      <c r="I38" s="38" t="n">
        <f aca="false">IF($C38&gt;=Assumptions!$B$8,CMS_PL!G38*Assumptions!$E$26,CMS_PL!F38*Assumptions!$C$26)/Assumptions!$B$5</f>
        <v>88.7849056603774</v>
      </c>
      <c r="J38" s="38" t="n">
        <f aca="false">IF($C38&gt;=Assumptions!$B$8,CMS_PL!H38*Assumptions!$E$27,CMS_PL!H38*Assumptions!$C$27)/Assumptions!$B$5</f>
        <v>16.8349056603774</v>
      </c>
      <c r="K38" s="38" t="n">
        <f aca="false">IF($C38&gt;=Assumptions!$B$8,CMS_PL!H38*Assumptions!$E$28,CMS_PL!H38*Assumptions!$C$28)/Assumptions!$B$5</f>
        <v>42.0872641509434</v>
      </c>
      <c r="L38" s="38" t="n">
        <f aca="false">IF($C38&gt;=Assumptions!$B$8,CMS_PL!H38*Assumptions!$E$29,CMS_PL!H38*Assumptions!$C$29)/Assumptions!$B$5</f>
        <v>50.5047169811321</v>
      </c>
      <c r="M38" s="38" t="n">
        <f aca="false">IF($C38&gt;=Assumptions!$B$8,CMS_PL!H38*Assumptions!$E$30,CMS_PL!H38*Assumptions!$C$30)/Assumptions!$B$5</f>
        <v>84.1745283018868</v>
      </c>
      <c r="N38" s="38" t="n">
        <f aca="false">IF($C38&gt;=Assumptions!$B$8,CMS_PL!H38*Assumptions!$E$31,CMS_PL!H38*Assumptions!$C$31)/Assumptions!$B$5</f>
        <v>168.349056603774</v>
      </c>
      <c r="O38" s="38" t="n">
        <f aca="false">IF($C38&gt;=Assumptions!$B$8,CMS_PL!K38*Assumptions!$E$32,CMS_PL!I38*Assumptions!$C$32)/Assumptions!$B$5</f>
        <v>6.05566037735849</v>
      </c>
      <c r="P38" s="38" t="n">
        <f aca="false">IF($C38&gt;=Assumptions!$B$8,CMS_PL!K38*Assumptions!$E$33,CMS_PL!J38*Assumptions!$C$33)/Assumptions!$B$5</f>
        <v>9.24811320754717</v>
      </c>
    </row>
    <row r="39" customFormat="false" ht="15" hidden="false" customHeight="false" outlineLevel="0" collapsed="false">
      <c r="A39" s="8" t="str">
        <f aca="false">CMS_PL!A39</f>
        <v>2024-Q2</v>
      </c>
      <c r="B39" s="8" t="str">
        <f aca="false">CMS_PL!B39</f>
        <v>2024</v>
      </c>
      <c r="C39" s="37" t="n">
        <f aca="false">CMS_PL!D39</f>
        <v>2024.25</v>
      </c>
      <c r="D39" s="7" t="str">
        <f aca="false">IF(C39&gt;=Assumptions!$B$8,"New code","Old code")</f>
        <v>New code</v>
      </c>
      <c r="E39" s="38" t="n">
        <f aca="false">IF($C39&gt;=Assumptions!$B$8,CMS_PL!G39*Assumptions!$E$22,CMS_PL!E39*Assumptions!$C$22)/Assumptions!$B$5</f>
        <v>2.06037735849057</v>
      </c>
      <c r="F39" s="38" t="n">
        <f aca="false">IF($C39&gt;=Assumptions!$B$8,CMS_PL!G39*Assumptions!$E$23,CMS_PL!F39*Assumptions!$C$23)/Assumptions!$B$5</f>
        <v>6.43867924528302</v>
      </c>
      <c r="G39" s="38" t="n">
        <f aca="false">IF($C39&gt;=Assumptions!$B$8,CMS_PL!G39*Assumptions!$E$24,CMS_PL!F39*Assumptions!$C$24)/Assumptions!$B$5</f>
        <v>25.7547169811321</v>
      </c>
      <c r="H39" s="38" t="n">
        <f aca="false">IF($C39&gt;=Assumptions!$B$8,CMS_PL!G39*Assumptions!$E$25,CMS_PL!F39*Assumptions!$C$25)/Assumptions!$B$5</f>
        <v>51.5094339622642</v>
      </c>
      <c r="I39" s="38" t="n">
        <f aca="false">IF($C39&gt;=Assumptions!$B$8,CMS_PL!G39*Assumptions!$E$26,CMS_PL!F39*Assumptions!$C$26)/Assumptions!$B$5</f>
        <v>103.018867924528</v>
      </c>
      <c r="J39" s="38" t="n">
        <f aca="false">IF($C39&gt;=Assumptions!$B$8,CMS_PL!H39*Assumptions!$E$27,CMS_PL!H39*Assumptions!$C$27)/Assumptions!$B$5</f>
        <v>17.4141509433962</v>
      </c>
      <c r="K39" s="38" t="n">
        <f aca="false">IF($C39&gt;=Assumptions!$B$8,CMS_PL!H39*Assumptions!$E$28,CMS_PL!H39*Assumptions!$C$28)/Assumptions!$B$5</f>
        <v>43.5353773584906</v>
      </c>
      <c r="L39" s="38" t="n">
        <f aca="false">IF($C39&gt;=Assumptions!$B$8,CMS_PL!H39*Assumptions!$E$29,CMS_PL!H39*Assumptions!$C$29)/Assumptions!$B$5</f>
        <v>52.2424528301887</v>
      </c>
      <c r="M39" s="38" t="n">
        <f aca="false">IF($C39&gt;=Assumptions!$B$8,CMS_PL!H39*Assumptions!$E$30,CMS_PL!H39*Assumptions!$C$30)/Assumptions!$B$5</f>
        <v>87.0707547169811</v>
      </c>
      <c r="N39" s="38" t="n">
        <f aca="false">IF($C39&gt;=Assumptions!$B$8,CMS_PL!H39*Assumptions!$E$31,CMS_PL!H39*Assumptions!$C$31)/Assumptions!$B$5</f>
        <v>174.141509433962</v>
      </c>
      <c r="O39" s="38" t="n">
        <f aca="false">IF($C39&gt;=Assumptions!$B$8,CMS_PL!K39*Assumptions!$E$32,CMS_PL!I39*Assumptions!$C$32)/Assumptions!$B$5</f>
        <v>5.05660377358491</v>
      </c>
      <c r="P39" s="38" t="n">
        <f aca="false">IF($C39&gt;=Assumptions!$B$8,CMS_PL!K39*Assumptions!$E$33,CMS_PL!J39*Assumptions!$C$33)/Assumptions!$B$5</f>
        <v>10.1132075471698</v>
      </c>
    </row>
    <row r="40" customFormat="false" ht="15" hidden="false" customHeight="false" outlineLevel="0" collapsed="false">
      <c r="A40" s="8" t="str">
        <f aca="false">CMS_PL!A40</f>
        <v>2024-Q3</v>
      </c>
      <c r="B40" s="8" t="str">
        <f aca="false">CMS_PL!B40</f>
        <v>2024</v>
      </c>
      <c r="C40" s="37" t="n">
        <f aca="false">CMS_PL!D40</f>
        <v>2024.5</v>
      </c>
      <c r="D40" s="7" t="str">
        <f aca="false">IF(C40&gt;=Assumptions!$B$8,"New code","Old code")</f>
        <v>New code</v>
      </c>
      <c r="E40" s="38" t="n">
        <f aca="false">IF($C40&gt;=Assumptions!$B$8,CMS_PL!G40*Assumptions!$E$22,CMS_PL!E40*Assumptions!$C$22)/Assumptions!$B$5</f>
        <v>2.22641509433962</v>
      </c>
      <c r="F40" s="38" t="n">
        <f aca="false">IF($C40&gt;=Assumptions!$B$8,CMS_PL!G40*Assumptions!$E$23,CMS_PL!F40*Assumptions!$C$23)/Assumptions!$B$5</f>
        <v>6.95754716981132</v>
      </c>
      <c r="G40" s="38" t="n">
        <f aca="false">IF($C40&gt;=Assumptions!$B$8,CMS_PL!G40*Assumptions!$E$24,CMS_PL!F40*Assumptions!$C$24)/Assumptions!$B$5</f>
        <v>27.8301886792453</v>
      </c>
      <c r="H40" s="38" t="n">
        <f aca="false">IF($C40&gt;=Assumptions!$B$8,CMS_PL!G40*Assumptions!$E$25,CMS_PL!F40*Assumptions!$C$25)/Assumptions!$B$5</f>
        <v>55.6603773584906</v>
      </c>
      <c r="I40" s="38" t="n">
        <f aca="false">IF($C40&gt;=Assumptions!$B$8,CMS_PL!G40*Assumptions!$E$26,CMS_PL!F40*Assumptions!$C$26)/Assumptions!$B$5</f>
        <v>111.320754716981</v>
      </c>
      <c r="J40" s="38" t="n">
        <f aca="false">IF($C40&gt;=Assumptions!$B$8,CMS_PL!H40*Assumptions!$E$27,CMS_PL!H40*Assumptions!$C$27)/Assumptions!$B$5</f>
        <v>18.7292452830189</v>
      </c>
      <c r="K40" s="38" t="n">
        <f aca="false">IF($C40&gt;=Assumptions!$B$8,CMS_PL!H40*Assumptions!$E$28,CMS_PL!H40*Assumptions!$C$28)/Assumptions!$B$5</f>
        <v>46.8231132075472</v>
      </c>
      <c r="L40" s="38" t="n">
        <f aca="false">IF($C40&gt;=Assumptions!$B$8,CMS_PL!H40*Assumptions!$E$29,CMS_PL!H40*Assumptions!$C$29)/Assumptions!$B$5</f>
        <v>56.1877358490566</v>
      </c>
      <c r="M40" s="38" t="n">
        <f aca="false">IF($C40&gt;=Assumptions!$B$8,CMS_PL!H40*Assumptions!$E$30,CMS_PL!H40*Assumptions!$C$30)/Assumptions!$B$5</f>
        <v>93.6462264150944</v>
      </c>
      <c r="N40" s="38" t="n">
        <f aca="false">IF($C40&gt;=Assumptions!$B$8,CMS_PL!H40*Assumptions!$E$31,CMS_PL!H40*Assumptions!$C$31)/Assumptions!$B$5</f>
        <v>187.292452830189</v>
      </c>
      <c r="O40" s="38" t="n">
        <f aca="false">IF($C40&gt;=Assumptions!$B$8,CMS_PL!K40*Assumptions!$E$32,CMS_PL!I40*Assumptions!$C$32)/Assumptions!$B$5</f>
        <v>5.20754716981132</v>
      </c>
      <c r="P40" s="38" t="n">
        <f aca="false">IF($C40&gt;=Assumptions!$B$8,CMS_PL!K40*Assumptions!$E$33,CMS_PL!J40*Assumptions!$C$33)/Assumptions!$B$5</f>
        <v>10.4150943396226</v>
      </c>
    </row>
    <row r="41" customFormat="false" ht="15" hidden="false" customHeight="false" outlineLevel="0" collapsed="false">
      <c r="A41" s="8" t="str">
        <f aca="false">CMS_PL!A41</f>
        <v>2024-Q4</v>
      </c>
      <c r="B41" s="8" t="str">
        <f aca="false">CMS_PL!B41</f>
        <v>2024</v>
      </c>
      <c r="C41" s="37" t="n">
        <f aca="false">CMS_PL!D41</f>
        <v>2024.75</v>
      </c>
      <c r="D41" s="7" t="str">
        <f aca="false">IF(C41&gt;=Assumptions!$B$8,"New code","Old code")</f>
        <v>New code</v>
      </c>
      <c r="E41" s="38" t="n">
        <f aca="false">IF($C41&gt;=Assumptions!$B$8,CMS_PL!G41*Assumptions!$E$22,CMS_PL!E41*Assumptions!$C$22)/Assumptions!$B$5</f>
        <v>2.29433962264151</v>
      </c>
      <c r="F41" s="38" t="n">
        <f aca="false">IF($C41&gt;=Assumptions!$B$8,CMS_PL!G41*Assumptions!$E$23,CMS_PL!F41*Assumptions!$C$23)/Assumptions!$B$5</f>
        <v>7.16981132075472</v>
      </c>
      <c r="G41" s="38" t="n">
        <f aca="false">IF($C41&gt;=Assumptions!$B$8,CMS_PL!G41*Assumptions!$E$24,CMS_PL!F41*Assumptions!$C$24)/Assumptions!$B$5</f>
        <v>28.6792452830189</v>
      </c>
      <c r="H41" s="38" t="n">
        <f aca="false">IF($C41&gt;=Assumptions!$B$8,CMS_PL!G41*Assumptions!$E$25,CMS_PL!F41*Assumptions!$C$25)/Assumptions!$B$5</f>
        <v>57.3584905660377</v>
      </c>
      <c r="I41" s="38" t="n">
        <f aca="false">IF($C41&gt;=Assumptions!$B$8,CMS_PL!G41*Assumptions!$E$26,CMS_PL!F41*Assumptions!$C$26)/Assumptions!$B$5</f>
        <v>114.716981132075</v>
      </c>
      <c r="J41" s="38" t="n">
        <f aca="false">IF($C41&gt;=Assumptions!$B$8,CMS_PL!H41*Assumptions!$E$27,CMS_PL!H41*Assumptions!$C$27)/Assumptions!$B$5</f>
        <v>18.2990566037736</v>
      </c>
      <c r="K41" s="38" t="n">
        <f aca="false">IF($C41&gt;=Assumptions!$B$8,CMS_PL!H41*Assumptions!$E$28,CMS_PL!H41*Assumptions!$C$28)/Assumptions!$B$5</f>
        <v>45.747641509434</v>
      </c>
      <c r="L41" s="38" t="n">
        <f aca="false">IF($C41&gt;=Assumptions!$B$8,CMS_PL!H41*Assumptions!$E$29,CMS_PL!H41*Assumptions!$C$29)/Assumptions!$B$5</f>
        <v>54.8971698113208</v>
      </c>
      <c r="M41" s="38" t="n">
        <f aca="false">IF($C41&gt;=Assumptions!$B$8,CMS_PL!H41*Assumptions!$E$30,CMS_PL!H41*Assumptions!$C$30)/Assumptions!$B$5</f>
        <v>91.4952830188679</v>
      </c>
      <c r="N41" s="38" t="n">
        <f aca="false">IF($C41&gt;=Assumptions!$B$8,CMS_PL!H41*Assumptions!$E$31,CMS_PL!H41*Assumptions!$C$31)/Assumptions!$B$5</f>
        <v>182.990566037736</v>
      </c>
      <c r="O41" s="38" t="n">
        <f aca="false">IF($C41&gt;=Assumptions!$B$8,CMS_PL!K41*Assumptions!$E$32,CMS_PL!I41*Assumptions!$C$32)/Assumptions!$B$5</f>
        <v>4.49056603773585</v>
      </c>
      <c r="P41" s="38" t="n">
        <f aca="false">IF($C41&gt;=Assumptions!$B$8,CMS_PL!K41*Assumptions!$E$33,CMS_PL!J41*Assumptions!$C$33)/Assumptions!$B$5</f>
        <v>8.9811320754717</v>
      </c>
    </row>
    <row r="42" customFormat="false" ht="15" hidden="false" customHeight="false" outlineLevel="0" collapsed="false">
      <c r="A42" s="8" t="str">
        <f aca="false">CMS_PL!A42</f>
        <v>2025-Q1</v>
      </c>
      <c r="B42" s="8" t="str">
        <f aca="false">CMS_PL!B42</f>
        <v>2025</v>
      </c>
      <c r="C42" s="37" t="n">
        <f aca="false">CMS_PL!D42</f>
        <v>2025</v>
      </c>
      <c r="D42" s="7" t="str">
        <f aca="false">IF(C42&gt;=Assumptions!$B$8,"New code","Old code")</f>
        <v>New code</v>
      </c>
      <c r="E42" s="38" t="n">
        <f aca="false">IF($C42&gt;=Assumptions!$B$8,CMS_PL!G42*Assumptions!$E$22,CMS_PL!E42*Assumptions!$C$22)/Assumptions!$B$5</f>
        <v>2.02264150943396</v>
      </c>
      <c r="F42" s="38" t="n">
        <f aca="false">IF($C42&gt;=Assumptions!$B$8,CMS_PL!G42*Assumptions!$E$23,CMS_PL!F42*Assumptions!$C$23)/Assumptions!$B$5</f>
        <v>6.32075471698113</v>
      </c>
      <c r="G42" s="38" t="n">
        <f aca="false">IF($C42&gt;=Assumptions!$B$8,CMS_PL!G42*Assumptions!$E$24,CMS_PL!F42*Assumptions!$C$24)/Assumptions!$B$5</f>
        <v>25.2830188679245</v>
      </c>
      <c r="H42" s="38" t="n">
        <f aca="false">IF($C42&gt;=Assumptions!$B$8,CMS_PL!G42*Assumptions!$E$25,CMS_PL!F42*Assumptions!$C$25)/Assumptions!$B$5</f>
        <v>50.5660377358491</v>
      </c>
      <c r="I42" s="38" t="n">
        <f aca="false">IF($C42&gt;=Assumptions!$B$8,CMS_PL!G42*Assumptions!$E$26,CMS_PL!F42*Assumptions!$C$26)/Assumptions!$B$5</f>
        <v>101.132075471698</v>
      </c>
      <c r="J42" s="38" t="n">
        <f aca="false">IF($C42&gt;=Assumptions!$B$8,CMS_PL!H42*Assumptions!$E$27,CMS_PL!H42*Assumptions!$C$27)/Assumptions!$B$5</f>
        <v>19.7537735849057</v>
      </c>
      <c r="K42" s="38" t="n">
        <f aca="false">IF($C42&gt;=Assumptions!$B$8,CMS_PL!H42*Assumptions!$E$28,CMS_PL!H42*Assumptions!$C$28)/Assumptions!$B$5</f>
        <v>49.3844339622642</v>
      </c>
      <c r="L42" s="38" t="n">
        <f aca="false">IF($C42&gt;=Assumptions!$B$8,CMS_PL!H42*Assumptions!$E$29,CMS_PL!H42*Assumptions!$C$29)/Assumptions!$B$5</f>
        <v>59.261320754717</v>
      </c>
      <c r="M42" s="38" t="n">
        <f aca="false">IF($C42&gt;=Assumptions!$B$8,CMS_PL!H42*Assumptions!$E$30,CMS_PL!H42*Assumptions!$C$30)/Assumptions!$B$5</f>
        <v>98.7688679245283</v>
      </c>
      <c r="N42" s="38" t="n">
        <f aca="false">IF($C42&gt;=Assumptions!$B$8,CMS_PL!H42*Assumptions!$E$31,CMS_PL!H42*Assumptions!$C$31)/Assumptions!$B$5</f>
        <v>197.537735849057</v>
      </c>
      <c r="O42" s="38" t="n">
        <f aca="false">IF($C42&gt;=Assumptions!$B$8,CMS_PL!K42*Assumptions!$E$32,CMS_PL!I42*Assumptions!$C$32)/Assumptions!$B$5</f>
        <v>4.41509433962264</v>
      </c>
      <c r="P42" s="38" t="n">
        <f aca="false">IF($C42&gt;=Assumptions!$B$8,CMS_PL!K42*Assumptions!$E$33,CMS_PL!J42*Assumptions!$C$33)/Assumptions!$B$5</f>
        <v>8.83018867924528</v>
      </c>
    </row>
    <row r="43" customFormat="false" ht="15" hidden="false" customHeight="false" outlineLevel="0" collapsed="false">
      <c r="A43" s="8" t="str">
        <f aca="false">CMS_PL!A43</f>
        <v>2025-Q2</v>
      </c>
      <c r="B43" s="8" t="str">
        <f aca="false">CMS_PL!B43</f>
        <v>2025</v>
      </c>
      <c r="C43" s="37" t="n">
        <f aca="false">CMS_PL!D43</f>
        <v>2025.25</v>
      </c>
      <c r="D43" s="7" t="str">
        <f aca="false">IF(C43&gt;=Assumptions!$B$8,"New code","Old code")</f>
        <v>New code</v>
      </c>
      <c r="E43" s="38" t="n">
        <f aca="false">IF($C43&gt;=Assumptions!$B$8,CMS_PL!G43*Assumptions!$E$22,CMS_PL!E43*Assumptions!$C$22)/Assumptions!$B$5</f>
        <v>1.89433962264151</v>
      </c>
      <c r="F43" s="38" t="n">
        <f aca="false">IF($C43&gt;=Assumptions!$B$8,CMS_PL!G43*Assumptions!$E$23,CMS_PL!F43*Assumptions!$C$23)/Assumptions!$B$5</f>
        <v>5.91981132075472</v>
      </c>
      <c r="G43" s="38" t="n">
        <f aca="false">IF($C43&gt;=Assumptions!$B$8,CMS_PL!G43*Assumptions!$E$24,CMS_PL!F43*Assumptions!$C$24)/Assumptions!$B$5</f>
        <v>23.6792452830189</v>
      </c>
      <c r="H43" s="38" t="n">
        <f aca="false">IF($C43&gt;=Assumptions!$B$8,CMS_PL!G43*Assumptions!$E$25,CMS_PL!F43*Assumptions!$C$25)/Assumptions!$B$5</f>
        <v>47.3584905660377</v>
      </c>
      <c r="I43" s="38" t="n">
        <f aca="false">IF($C43&gt;=Assumptions!$B$8,CMS_PL!G43*Assumptions!$E$26,CMS_PL!F43*Assumptions!$C$26)/Assumptions!$B$5</f>
        <v>94.7169811320755</v>
      </c>
      <c r="J43" s="38" t="n">
        <f aca="false">IF($C43&gt;=Assumptions!$B$8,CMS_PL!H43*Assumptions!$E$27,CMS_PL!H43*Assumptions!$C$27)/Assumptions!$B$5</f>
        <v>19.4150943396226</v>
      </c>
      <c r="K43" s="38" t="n">
        <f aca="false">IF($C43&gt;=Assumptions!$B$8,CMS_PL!H43*Assumptions!$E$28,CMS_PL!H43*Assumptions!$C$28)/Assumptions!$B$5</f>
        <v>48.5377358490566</v>
      </c>
      <c r="L43" s="38" t="n">
        <f aca="false">IF($C43&gt;=Assumptions!$B$8,CMS_PL!H43*Assumptions!$E$29,CMS_PL!H43*Assumptions!$C$29)/Assumptions!$B$5</f>
        <v>58.2452830188679</v>
      </c>
      <c r="M43" s="38" t="n">
        <f aca="false">IF($C43&gt;=Assumptions!$B$8,CMS_PL!H43*Assumptions!$E$30,CMS_PL!H43*Assumptions!$C$30)/Assumptions!$B$5</f>
        <v>97.0754716981132</v>
      </c>
      <c r="N43" s="38" t="n">
        <f aca="false">IF($C43&gt;=Assumptions!$B$8,CMS_PL!H43*Assumptions!$E$31,CMS_PL!H43*Assumptions!$C$31)/Assumptions!$B$5</f>
        <v>194.150943396226</v>
      </c>
      <c r="O43" s="38" t="n">
        <f aca="false">IF($C43&gt;=Assumptions!$B$8,CMS_PL!K43*Assumptions!$E$32,CMS_PL!I43*Assumptions!$C$32)/Assumptions!$B$5</f>
        <v>4.15094339622642</v>
      </c>
      <c r="P43" s="38" t="n">
        <f aca="false">IF($C43&gt;=Assumptions!$B$8,CMS_PL!K43*Assumptions!$E$33,CMS_PL!J43*Assumptions!$C$33)/Assumptions!$B$5</f>
        <v>8.30188679245283</v>
      </c>
    </row>
    <row r="44" customFormat="false" ht="15" hidden="false" customHeight="false" outlineLevel="0" collapsed="false">
      <c r="A44" s="8" t="str">
        <f aca="false">CMS_PL!A44</f>
        <v>2025-Q3</v>
      </c>
      <c r="B44" s="8" t="str">
        <f aca="false">CMS_PL!B44</f>
        <v>2025</v>
      </c>
      <c r="C44" s="37" t="n">
        <f aca="false">CMS_PL!D44</f>
        <v>2025.5</v>
      </c>
      <c r="D44" s="7" t="str">
        <f aca="false">IF(C44&gt;=Assumptions!$B$8,"New code","Old code")</f>
        <v>New code</v>
      </c>
      <c r="E44" s="38" t="n">
        <f aca="false">IF($C44&gt;=Assumptions!$B$8,CMS_PL!G44*Assumptions!$E$22,CMS_PL!E44*Assumptions!$C$22)/Assumptions!$B$5</f>
        <v>1.95471698113208</v>
      </c>
      <c r="F44" s="38" t="n">
        <f aca="false">IF($C44&gt;=Assumptions!$B$8,CMS_PL!G44*Assumptions!$E$23,CMS_PL!F44*Assumptions!$C$23)/Assumptions!$B$5</f>
        <v>6.10849056603774</v>
      </c>
      <c r="G44" s="38" t="n">
        <f aca="false">IF($C44&gt;=Assumptions!$B$8,CMS_PL!G44*Assumptions!$E$24,CMS_PL!F44*Assumptions!$C$24)/Assumptions!$B$5</f>
        <v>24.4339622641509</v>
      </c>
      <c r="H44" s="38" t="n">
        <f aca="false">IF($C44&gt;=Assumptions!$B$8,CMS_PL!G44*Assumptions!$E$25,CMS_PL!F44*Assumptions!$C$25)/Assumptions!$B$5</f>
        <v>48.8679245283019</v>
      </c>
      <c r="I44" s="38" t="n">
        <f aca="false">IF($C44&gt;=Assumptions!$B$8,CMS_PL!G44*Assumptions!$E$26,CMS_PL!F44*Assumptions!$C$26)/Assumptions!$B$5</f>
        <v>97.7358490566038</v>
      </c>
      <c r="J44" s="38" t="n">
        <f aca="false">IF($C44&gt;=Assumptions!$B$8,CMS_PL!H44*Assumptions!$E$27,CMS_PL!H44*Assumptions!$C$27)/Assumptions!$B$5</f>
        <v>20.0009433962264</v>
      </c>
      <c r="K44" s="38" t="n">
        <f aca="false">IF($C44&gt;=Assumptions!$B$8,CMS_PL!H44*Assumptions!$E$28,CMS_PL!H44*Assumptions!$C$28)/Assumptions!$B$5</f>
        <v>50.002358490566</v>
      </c>
      <c r="L44" s="38" t="n">
        <f aca="false">IF($C44&gt;=Assumptions!$B$8,CMS_PL!H44*Assumptions!$E$29,CMS_PL!H44*Assumptions!$C$29)/Assumptions!$B$5</f>
        <v>60.0028301886792</v>
      </c>
      <c r="M44" s="38" t="n">
        <f aca="false">IF($C44&gt;=Assumptions!$B$8,CMS_PL!H44*Assumptions!$E$30,CMS_PL!H44*Assumptions!$C$30)/Assumptions!$B$5</f>
        <v>100.004716981132</v>
      </c>
      <c r="N44" s="38" t="n">
        <f aca="false">IF($C44&gt;=Assumptions!$B$8,CMS_PL!H44*Assumptions!$E$31,CMS_PL!H44*Assumptions!$C$31)/Assumptions!$B$5</f>
        <v>200.009433962264</v>
      </c>
      <c r="O44" s="38" t="n">
        <f aca="false">IF($C44&gt;=Assumptions!$B$8,CMS_PL!K44*Assumptions!$E$32,CMS_PL!I44*Assumptions!$C$32)/Assumptions!$B$5</f>
        <v>4.52830188679245</v>
      </c>
      <c r="P44" s="38" t="n">
        <f aca="false">IF($C44&gt;=Assumptions!$B$8,CMS_PL!K44*Assumptions!$E$33,CMS_PL!J44*Assumptions!$C$33)/Assumptions!$B$5</f>
        <v>9.05660377358491</v>
      </c>
    </row>
    <row r="45" customFormat="false" ht="15" hidden="false" customHeight="false" outlineLevel="0" collapsed="false">
      <c r="A45" s="8" t="str">
        <f aca="false">CMS_PL!A45</f>
        <v>2025-Q4</v>
      </c>
      <c r="B45" s="8" t="str">
        <f aca="false">CMS_PL!B45</f>
        <v>2025</v>
      </c>
      <c r="C45" s="37" t="n">
        <f aca="false">CMS_PL!D45</f>
        <v>2025.75</v>
      </c>
      <c r="D45" s="7" t="str">
        <f aca="false">IF(C45&gt;=Assumptions!$B$8,"New code","Old code")</f>
        <v>New code</v>
      </c>
      <c r="E45" s="38" t="n">
        <f aca="false">IF($C45&gt;=Assumptions!$B$8,CMS_PL!G45*Assumptions!$E$22,CMS_PL!E45*Assumptions!$C$22)/Assumptions!$B$5</f>
        <v>1.58490566037736</v>
      </c>
      <c r="F45" s="38" t="n">
        <f aca="false">IF($C45&gt;=Assumptions!$B$8,CMS_PL!G45*Assumptions!$E$23,CMS_PL!F45*Assumptions!$C$23)/Assumptions!$B$5</f>
        <v>4.95283018867925</v>
      </c>
      <c r="G45" s="38" t="n">
        <f aca="false">IF($C45&gt;=Assumptions!$B$8,CMS_PL!G45*Assumptions!$E$24,CMS_PL!F45*Assumptions!$C$24)/Assumptions!$B$5</f>
        <v>19.811320754717</v>
      </c>
      <c r="H45" s="38" t="n">
        <f aca="false">IF($C45&gt;=Assumptions!$B$8,CMS_PL!G45*Assumptions!$E$25,CMS_PL!F45*Assumptions!$C$25)/Assumptions!$B$5</f>
        <v>39.622641509434</v>
      </c>
      <c r="I45" s="38" t="n">
        <f aca="false">IF($C45&gt;=Assumptions!$B$8,CMS_PL!G45*Assumptions!$E$26,CMS_PL!F45*Assumptions!$C$26)/Assumptions!$B$5</f>
        <v>79.2452830188679</v>
      </c>
      <c r="J45" s="38" t="n">
        <f aca="false">IF($C45&gt;=Assumptions!$B$8,CMS_PL!H45*Assumptions!$E$27,CMS_PL!H45*Assumptions!$C$27)/Assumptions!$B$5</f>
        <v>20.1056603773585</v>
      </c>
      <c r="K45" s="38" t="n">
        <f aca="false">IF($C45&gt;=Assumptions!$B$8,CMS_PL!H45*Assumptions!$E$28,CMS_PL!H45*Assumptions!$C$28)/Assumptions!$B$5</f>
        <v>50.2641509433962</v>
      </c>
      <c r="L45" s="38" t="n">
        <f aca="false">IF($C45&gt;=Assumptions!$B$8,CMS_PL!H45*Assumptions!$E$29,CMS_PL!H45*Assumptions!$C$29)/Assumptions!$B$5</f>
        <v>60.3169811320755</v>
      </c>
      <c r="M45" s="38" t="n">
        <f aca="false">IF($C45&gt;=Assumptions!$B$8,CMS_PL!H45*Assumptions!$E$30,CMS_PL!H45*Assumptions!$C$30)/Assumptions!$B$5</f>
        <v>100.528301886792</v>
      </c>
      <c r="N45" s="38" t="n">
        <f aca="false">IF($C45&gt;=Assumptions!$B$8,CMS_PL!H45*Assumptions!$E$31,CMS_PL!H45*Assumptions!$C$31)/Assumptions!$B$5</f>
        <v>201.056603773585</v>
      </c>
      <c r="O45" s="38" t="n">
        <f aca="false">IF($C45&gt;=Assumptions!$B$8,CMS_PL!K45*Assumptions!$E$32,CMS_PL!I45*Assumptions!$C$32)/Assumptions!$B$5</f>
        <v>4.49056603773585</v>
      </c>
      <c r="P45" s="38" t="n">
        <f aca="false">IF($C45&gt;=Assumptions!$B$8,CMS_PL!K45*Assumptions!$E$33,CMS_PL!J45*Assumptions!$C$33)/Assumptions!$B$5</f>
        <v>8.9811320754717</v>
      </c>
    </row>
    <row r="46" customFormat="false" ht="15" hidden="false" customHeight="false" outlineLevel="0" collapsed="false">
      <c r="A46" s="8" t="str">
        <f aca="false">CMS_PL!A46</f>
        <v>2026-Q1</v>
      </c>
      <c r="B46" s="8" t="str">
        <f aca="false">CMS_PL!B46</f>
        <v>2026</v>
      </c>
      <c r="C46" s="37" t="n">
        <f aca="false">CMS_PL!D46</f>
        <v>2026</v>
      </c>
      <c r="D46" s="7" t="str">
        <f aca="false">IF(C46&gt;=Assumptions!$B$8,"New code","Old code")</f>
        <v>New code</v>
      </c>
      <c r="E46" s="38" t="n">
        <f aca="false">IF($C46&gt;=Assumptions!$B$8,CMS_PL!G46*Assumptions!$E$22,CMS_PL!E46*Assumptions!$C$22)/Assumptions!$B$5</f>
        <v>1.99245283018868</v>
      </c>
      <c r="F46" s="38" t="n">
        <f aca="false">IF($C46&gt;=Assumptions!$B$8,CMS_PL!G46*Assumptions!$E$23,CMS_PL!F46*Assumptions!$C$23)/Assumptions!$B$5</f>
        <v>6.22641509433962</v>
      </c>
      <c r="G46" s="38" t="n">
        <f aca="false">IF($C46&gt;=Assumptions!$B$8,CMS_PL!G46*Assumptions!$E$24,CMS_PL!F46*Assumptions!$C$24)/Assumptions!$B$5</f>
        <v>24.9056603773585</v>
      </c>
      <c r="H46" s="38" t="n">
        <f aca="false">IF($C46&gt;=Assumptions!$B$8,CMS_PL!G46*Assumptions!$E$25,CMS_PL!F46*Assumptions!$C$25)/Assumptions!$B$5</f>
        <v>49.811320754717</v>
      </c>
      <c r="I46" s="38" t="n">
        <f aca="false">IF($C46&gt;=Assumptions!$B$8,CMS_PL!G46*Assumptions!$E$26,CMS_PL!F46*Assumptions!$C$26)/Assumptions!$B$5</f>
        <v>99.622641509434</v>
      </c>
      <c r="J46" s="38" t="n">
        <f aca="false">IF($C46&gt;=Assumptions!$B$8,CMS_PL!H46*Assumptions!$E$27,CMS_PL!H46*Assumptions!$C$27)/Assumptions!$B$5</f>
        <v>20.8122641509434</v>
      </c>
      <c r="K46" s="38" t="n">
        <f aca="false">IF($C46&gt;=Assumptions!$B$8,CMS_PL!H46*Assumptions!$E$28,CMS_PL!H46*Assumptions!$C$28)/Assumptions!$B$5</f>
        <v>52.0306603773585</v>
      </c>
      <c r="L46" s="38" t="n">
        <f aca="false">IF($C46&gt;=Assumptions!$B$8,CMS_PL!H46*Assumptions!$E$29,CMS_PL!H46*Assumptions!$C$29)/Assumptions!$B$5</f>
        <v>62.4367924528302</v>
      </c>
      <c r="M46" s="38" t="n">
        <f aca="false">IF($C46&gt;=Assumptions!$B$8,CMS_PL!H46*Assumptions!$E$30,CMS_PL!H46*Assumptions!$C$30)/Assumptions!$B$5</f>
        <v>104.061320754717</v>
      </c>
      <c r="N46" s="38" t="n">
        <f aca="false">IF($C46&gt;=Assumptions!$B$8,CMS_PL!H46*Assumptions!$E$31,CMS_PL!H46*Assumptions!$C$31)/Assumptions!$B$5</f>
        <v>208.122641509434</v>
      </c>
      <c r="O46" s="38" t="n">
        <f aca="false">IF($C46&gt;=Assumptions!$B$8,CMS_PL!K46*Assumptions!$E$32,CMS_PL!I46*Assumptions!$C$32)/Assumptions!$B$5</f>
        <v>4.52830188679245</v>
      </c>
      <c r="P46" s="38" t="n">
        <f aca="false">IF($C46&gt;=Assumptions!$B$8,CMS_PL!K46*Assumptions!$E$33,CMS_PL!J46*Assumptions!$C$33)/Assumptions!$B$5</f>
        <v>9.05660377358491</v>
      </c>
    </row>
    <row r="47" customFormat="false" ht="15" hidden="false" customHeight="false" outlineLevel="0" collapsed="false">
      <c r="A47" s="8" t="str">
        <f aca="false">CMS_PL!A47</f>
        <v>2026-Q2</v>
      </c>
      <c r="B47" s="8" t="str">
        <f aca="false">CMS_PL!B47</f>
        <v>2026</v>
      </c>
      <c r="C47" s="37" t="n">
        <f aca="false">CMS_PL!D47</f>
        <v>2026.25</v>
      </c>
      <c r="D47" s="7" t="str">
        <f aca="false">IF(C47&gt;=Assumptions!$B$8,"New code","Old code")</f>
        <v>New code</v>
      </c>
      <c r="E47" s="38" t="n">
        <f aca="false">IF($C47&gt;=Assumptions!$B$8,CMS_PL!G47*Assumptions!$E$22,CMS_PL!E47*Assumptions!$C$22)/Assumptions!$B$5</f>
        <v>1.8188679245283</v>
      </c>
      <c r="F47" s="38" t="n">
        <f aca="false">IF($C47&gt;=Assumptions!$B$8,CMS_PL!G47*Assumptions!$E$23,CMS_PL!F47*Assumptions!$C$23)/Assumptions!$B$5</f>
        <v>5.68396226415094</v>
      </c>
      <c r="G47" s="38" t="n">
        <f aca="false">IF($C47&gt;=Assumptions!$B$8,CMS_PL!G47*Assumptions!$E$24,CMS_PL!F47*Assumptions!$C$24)/Assumptions!$B$5</f>
        <v>22.7358490566038</v>
      </c>
      <c r="H47" s="38" t="n">
        <f aca="false">IF($C47&gt;=Assumptions!$B$8,CMS_PL!G47*Assumptions!$E$25,CMS_PL!F47*Assumptions!$C$25)/Assumptions!$B$5</f>
        <v>45.4716981132075</v>
      </c>
      <c r="I47" s="38" t="n">
        <f aca="false">IF($C47&gt;=Assumptions!$B$8,CMS_PL!G47*Assumptions!$E$26,CMS_PL!F47*Assumptions!$C$26)/Assumptions!$B$5</f>
        <v>90.9433962264151</v>
      </c>
      <c r="J47" s="38" t="n">
        <f aca="false">IF($C47&gt;=Assumptions!$B$8,CMS_PL!H47*Assumptions!$E$27,CMS_PL!H47*Assumptions!$C$27)/Assumptions!$B$5</f>
        <v>20.8877358490566</v>
      </c>
      <c r="K47" s="38" t="n">
        <f aca="false">IF($C47&gt;=Assumptions!$B$8,CMS_PL!H47*Assumptions!$E$28,CMS_PL!H47*Assumptions!$C$28)/Assumptions!$B$5</f>
        <v>52.2193396226415</v>
      </c>
      <c r="L47" s="38" t="n">
        <f aca="false">IF($C47&gt;=Assumptions!$B$8,CMS_PL!H47*Assumptions!$E$29,CMS_PL!H47*Assumptions!$C$29)/Assumptions!$B$5</f>
        <v>62.6632075471698</v>
      </c>
      <c r="M47" s="38" t="n">
        <f aca="false">IF($C47&gt;=Assumptions!$B$8,CMS_PL!H47*Assumptions!$E$30,CMS_PL!H47*Assumptions!$C$30)/Assumptions!$B$5</f>
        <v>104.438679245283</v>
      </c>
      <c r="N47" s="38" t="n">
        <f aca="false">IF($C47&gt;=Assumptions!$B$8,CMS_PL!H47*Assumptions!$E$31,CMS_PL!H47*Assumptions!$C$31)/Assumptions!$B$5</f>
        <v>208.877358490566</v>
      </c>
      <c r="O47" s="38" t="n">
        <f aca="false">IF($C47&gt;=Assumptions!$B$8,CMS_PL!K47*Assumptions!$E$32,CMS_PL!I47*Assumptions!$C$32)/Assumptions!$B$5</f>
        <v>4.22641509433962</v>
      </c>
      <c r="P47" s="38" t="n">
        <f aca="false">IF($C47&gt;=Assumptions!$B$8,CMS_PL!K47*Assumptions!$E$33,CMS_PL!J47*Assumptions!$C$33)/Assumptions!$B$5</f>
        <v>8.45283018867925</v>
      </c>
    </row>
    <row r="48" customFormat="false" ht="15" hidden="false" customHeight="false" outlineLevel="0" collapsed="false">
      <c r="A48" s="8" t="str">
        <f aca="false">CMS_PL!A48</f>
        <v>2026-Q3</v>
      </c>
      <c r="B48" s="8" t="str">
        <f aca="false">CMS_PL!B48</f>
        <v>2026</v>
      </c>
      <c r="C48" s="37" t="n">
        <f aca="false">CMS_PL!D48</f>
        <v>2026.5</v>
      </c>
      <c r="D48" s="7" t="str">
        <f aca="false">IF(C48&gt;=Assumptions!$B$8,"New code","Old code")</f>
        <v>New code</v>
      </c>
      <c r="E48" s="38" t="n">
        <f aca="false">IF($C48&gt;=Assumptions!$B$8,CMS_PL!G48*Assumptions!$E$22,CMS_PL!E48*Assumptions!$C$22)/Assumptions!$B$5</f>
        <v>1.69056603773585</v>
      </c>
      <c r="F48" s="38" t="n">
        <f aca="false">IF($C48&gt;=Assumptions!$B$8,CMS_PL!G48*Assumptions!$E$23,CMS_PL!F48*Assumptions!$C$23)/Assumptions!$B$5</f>
        <v>5.28301886792453</v>
      </c>
      <c r="G48" s="38" t="n">
        <f aca="false">IF($C48&gt;=Assumptions!$B$8,CMS_PL!G48*Assumptions!$E$24,CMS_PL!F48*Assumptions!$C$24)/Assumptions!$B$5</f>
        <v>21.1320754716981</v>
      </c>
      <c r="H48" s="38" t="n">
        <f aca="false">IF($C48&gt;=Assumptions!$B$8,CMS_PL!G48*Assumptions!$E$25,CMS_PL!F48*Assumptions!$C$25)/Assumptions!$B$5</f>
        <v>42.2641509433962</v>
      </c>
      <c r="I48" s="38" t="n">
        <f aca="false">IF($C48&gt;=Assumptions!$B$8,CMS_PL!G48*Assumptions!$E$26,CMS_PL!F48*Assumptions!$C$26)/Assumptions!$B$5</f>
        <v>84.5283018867925</v>
      </c>
      <c r="J48" s="38" t="n">
        <f aca="false">IF($C48&gt;=Assumptions!$B$8,CMS_PL!H48*Assumptions!$E$27,CMS_PL!H48*Assumptions!$C$27)/Assumptions!$B$5</f>
        <v>21.7509433962264</v>
      </c>
      <c r="K48" s="38" t="n">
        <f aca="false">IF($C48&gt;=Assumptions!$B$8,CMS_PL!H48*Assumptions!$E$28,CMS_PL!H48*Assumptions!$C$28)/Assumptions!$B$5</f>
        <v>54.377358490566</v>
      </c>
      <c r="L48" s="38" t="n">
        <f aca="false">IF($C48&gt;=Assumptions!$B$8,CMS_PL!H48*Assumptions!$E$29,CMS_PL!H48*Assumptions!$C$29)/Assumptions!$B$5</f>
        <v>65.2528301886793</v>
      </c>
      <c r="M48" s="38" t="n">
        <f aca="false">IF($C48&gt;=Assumptions!$B$8,CMS_PL!H48*Assumptions!$E$30,CMS_PL!H48*Assumptions!$C$30)/Assumptions!$B$5</f>
        <v>108.754716981132</v>
      </c>
      <c r="N48" s="38" t="n">
        <f aca="false">IF($C48&gt;=Assumptions!$B$8,CMS_PL!H48*Assumptions!$E$31,CMS_PL!H48*Assumptions!$C$31)/Assumptions!$B$5</f>
        <v>217.509433962264</v>
      </c>
      <c r="O48" s="38" t="n">
        <f aca="false">IF($C48&gt;=Assumptions!$B$8,CMS_PL!K48*Assumptions!$E$32,CMS_PL!I48*Assumptions!$C$32)/Assumptions!$B$5</f>
        <v>4.41509433962264</v>
      </c>
      <c r="P48" s="38" t="n">
        <f aca="false">IF($C48&gt;=Assumptions!$B$8,CMS_PL!K48*Assumptions!$E$33,CMS_PL!J48*Assumptions!$C$33)/Assumptions!$B$5</f>
        <v>8.83018867924528</v>
      </c>
    </row>
    <row r="49" customFormat="false" ht="15" hidden="false" customHeight="false" outlineLevel="0" collapsed="false">
      <c r="A49" s="8" t="str">
        <f aca="false">CMS_PL!A49</f>
        <v>2026-Q4</v>
      </c>
      <c r="B49" s="8" t="str">
        <f aca="false">CMS_PL!B49</f>
        <v>2026</v>
      </c>
      <c r="C49" s="37" t="n">
        <f aca="false">CMS_PL!D49</f>
        <v>2026.75</v>
      </c>
      <c r="D49" s="7" t="str">
        <f aca="false">IF(C49&gt;=Assumptions!$B$8,"New code","Old code")</f>
        <v>New code</v>
      </c>
      <c r="E49" s="38" t="n">
        <f aca="false">IF($C49&gt;=Assumptions!$B$8,CMS_PL!G49*Assumptions!$E$22,CMS_PL!E49*Assumptions!$C$22)/Assumptions!$B$5</f>
        <v>1.92452830188679</v>
      </c>
      <c r="F49" s="38" t="n">
        <f aca="false">IF($C49&gt;=Assumptions!$B$8,CMS_PL!G49*Assumptions!$E$23,CMS_PL!F49*Assumptions!$C$23)/Assumptions!$B$5</f>
        <v>6.01415094339623</v>
      </c>
      <c r="G49" s="38" t="n">
        <f aca="false">IF($C49&gt;=Assumptions!$B$8,CMS_PL!G49*Assumptions!$E$24,CMS_PL!F49*Assumptions!$C$24)/Assumptions!$B$5</f>
        <v>24.0566037735849</v>
      </c>
      <c r="H49" s="38" t="n">
        <f aca="false">IF($C49&gt;=Assumptions!$B$8,CMS_PL!G49*Assumptions!$E$25,CMS_PL!F49*Assumptions!$C$25)/Assumptions!$B$5</f>
        <v>48.1132075471698</v>
      </c>
      <c r="I49" s="38" t="n">
        <f aca="false">IF($C49&gt;=Assumptions!$B$8,CMS_PL!G49*Assumptions!$E$26,CMS_PL!F49*Assumptions!$C$26)/Assumptions!$B$5</f>
        <v>96.2264150943396</v>
      </c>
      <c r="J49" s="38" t="n">
        <f aca="false">IF($C49&gt;=Assumptions!$B$8,CMS_PL!H49*Assumptions!$E$27,CMS_PL!H49*Assumptions!$C$27)/Assumptions!$B$5</f>
        <v>21.838679245283</v>
      </c>
      <c r="K49" s="38" t="n">
        <f aca="false">IF($C49&gt;=Assumptions!$B$8,CMS_PL!H49*Assumptions!$E$28,CMS_PL!H49*Assumptions!$C$28)/Assumptions!$B$5</f>
        <v>54.5966981132075</v>
      </c>
      <c r="L49" s="38" t="n">
        <f aca="false">IF($C49&gt;=Assumptions!$B$8,CMS_PL!H49*Assumptions!$E$29,CMS_PL!H49*Assumptions!$C$29)/Assumptions!$B$5</f>
        <v>65.5160377358491</v>
      </c>
      <c r="M49" s="38" t="n">
        <f aca="false">IF($C49&gt;=Assumptions!$B$8,CMS_PL!H49*Assumptions!$E$30,CMS_PL!H49*Assumptions!$C$30)/Assumptions!$B$5</f>
        <v>109.193396226415</v>
      </c>
      <c r="N49" s="38" t="n">
        <f aca="false">IF($C49&gt;=Assumptions!$B$8,CMS_PL!H49*Assumptions!$E$31,CMS_PL!H49*Assumptions!$C$31)/Assumptions!$B$5</f>
        <v>218.38679245283</v>
      </c>
      <c r="O49" s="38" t="n">
        <f aca="false">IF($C49&gt;=Assumptions!$B$8,CMS_PL!K49*Assumptions!$E$32,CMS_PL!I49*Assumptions!$C$32)/Assumptions!$B$5</f>
        <v>4.64150943396226</v>
      </c>
      <c r="P49" s="38" t="n">
        <f aca="false">IF($C49&gt;=Assumptions!$B$8,CMS_PL!K49*Assumptions!$E$33,CMS_PL!J49*Assumptions!$C$33)/Assumptions!$B$5</f>
        <v>9.28301886792453</v>
      </c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15" hidden="false" customHeight="false" outlineLevel="0" collapsed="false">
      <c r="A52" s="4" t="s">
        <v>384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23.85" hidden="false" customHeight="false" outlineLevel="0" collapsed="false">
      <c r="A53" s="10" t="s">
        <v>225</v>
      </c>
      <c r="B53" s="10"/>
      <c r="C53" s="10"/>
      <c r="D53" s="10"/>
      <c r="E53" s="10" t="s">
        <v>194</v>
      </c>
      <c r="F53" s="10" t="s">
        <v>198</v>
      </c>
      <c r="G53" s="10" t="s">
        <v>201</v>
      </c>
      <c r="H53" s="10" t="s">
        <v>203</v>
      </c>
      <c r="I53" s="10" t="s">
        <v>204</v>
      </c>
      <c r="J53" s="10" t="s">
        <v>205</v>
      </c>
      <c r="K53" s="10" t="s">
        <v>208</v>
      </c>
      <c r="L53" s="10" t="s">
        <v>210</v>
      </c>
      <c r="M53" s="10" t="s">
        <v>212</v>
      </c>
      <c r="N53" s="10" t="s">
        <v>214</v>
      </c>
      <c r="O53" s="10" t="s">
        <v>215</v>
      </c>
      <c r="P53" s="10" t="s">
        <v>219</v>
      </c>
    </row>
    <row r="54" customFormat="false" ht="15" hidden="false" customHeight="false" outlineLevel="0" collapsed="false">
      <c r="A54" s="5" t="s">
        <v>239</v>
      </c>
      <c r="B54" s="2"/>
      <c r="C54" s="2"/>
      <c r="D54" s="2"/>
      <c r="E54" s="38" t="n">
        <f aca="false">AVERAGEIFS(E$6:E$49,$B$6:$B$49,$A54)</f>
        <v>3.04481132075472</v>
      </c>
      <c r="F54" s="38" t="n">
        <f aca="false">AVERAGEIFS(F$6:F$49,$B$6:$B$49,$A54)</f>
        <v>4.34150943396226</v>
      </c>
      <c r="G54" s="38" t="n">
        <f aca="false">AVERAGEIFS(G$6:G$49,$B$6:$B$49,$A54)</f>
        <v>17.3660377358491</v>
      </c>
      <c r="H54" s="38" t="n">
        <f aca="false">AVERAGEIFS(H$6:H$49,$B$6:$B$49,$A54)</f>
        <v>34.7320754716981</v>
      </c>
      <c r="I54" s="38" t="n">
        <f aca="false">AVERAGEIFS(I$6:I$49,$B$6:$B$49,$A54)</f>
        <v>69.4641509433962</v>
      </c>
      <c r="J54" s="38" t="n">
        <f aca="false">AVERAGEIFS(J$6:J$49,$B$6:$B$49,$A54)</f>
        <v>7.46650943396226</v>
      </c>
      <c r="K54" s="38" t="n">
        <f aca="false">AVERAGEIFS(K$6:K$49,$B$6:$B$49,$A54)</f>
        <v>18.6662735849057</v>
      </c>
      <c r="L54" s="38" t="n">
        <f aca="false">AVERAGEIFS(L$6:L$49,$B$6:$B$49,$A54)</f>
        <v>22.3995283018868</v>
      </c>
      <c r="M54" s="38" t="n">
        <f aca="false">AVERAGEIFS(M$6:M$49,$B$6:$B$49,$A54)</f>
        <v>37.3325471698113</v>
      </c>
      <c r="N54" s="38" t="n">
        <f aca="false">AVERAGEIFS(N$6:N$49,$B$6:$B$49,$A54)</f>
        <v>74.6650943396226</v>
      </c>
      <c r="O54" s="38" t="n">
        <f aca="false">AVERAGEIFS(O$6:O$49,$B$6:$B$49,$A54)</f>
        <v>4.4747641509434</v>
      </c>
      <c r="P54" s="38" t="n">
        <f aca="false">AVERAGEIFS(P$6:P$49,$B$6:$B$49,$A54)</f>
        <v>8.53207547169811</v>
      </c>
    </row>
    <row r="55" customFormat="false" ht="15" hidden="false" customHeight="false" outlineLevel="0" collapsed="false">
      <c r="A55" s="5" t="s">
        <v>252</v>
      </c>
      <c r="B55" s="2"/>
      <c r="C55" s="2"/>
      <c r="D55" s="2"/>
      <c r="E55" s="38" t="n">
        <f aca="false">AVERAGEIFS(E$6:E$49,$B$6:$B$49,$A55)</f>
        <v>3.95070754716981</v>
      </c>
      <c r="F55" s="38" t="n">
        <f aca="false">AVERAGEIFS(F$6:F$49,$B$6:$B$49,$A55)</f>
        <v>5.46981132075472</v>
      </c>
      <c r="G55" s="38" t="n">
        <f aca="false">AVERAGEIFS(G$6:G$49,$B$6:$B$49,$A55)</f>
        <v>21.8792452830189</v>
      </c>
      <c r="H55" s="38" t="n">
        <f aca="false">AVERAGEIFS(H$6:H$49,$B$6:$B$49,$A55)</f>
        <v>43.7584905660377</v>
      </c>
      <c r="I55" s="38" t="n">
        <f aca="false">AVERAGEIFS(I$6:I$49,$B$6:$B$49,$A55)</f>
        <v>87.5169811320755</v>
      </c>
      <c r="J55" s="38" t="n">
        <f aca="false">AVERAGEIFS(J$6:J$49,$B$6:$B$49,$A55)</f>
        <v>9.50070754716981</v>
      </c>
      <c r="K55" s="38" t="n">
        <f aca="false">AVERAGEIFS(K$6:K$49,$B$6:$B$49,$A55)</f>
        <v>23.7517688679245</v>
      </c>
      <c r="L55" s="38" t="n">
        <f aca="false">AVERAGEIFS(L$6:L$49,$B$6:$B$49,$A55)</f>
        <v>28.5021226415094</v>
      </c>
      <c r="M55" s="38" t="n">
        <f aca="false">AVERAGEIFS(M$6:M$49,$B$6:$B$49,$A55)</f>
        <v>47.5035377358491</v>
      </c>
      <c r="N55" s="38" t="n">
        <f aca="false">AVERAGEIFS(N$6:N$49,$B$6:$B$49,$A55)</f>
        <v>95.0070754716981</v>
      </c>
      <c r="O55" s="38" t="n">
        <f aca="false">AVERAGEIFS(O$6:O$49,$B$6:$B$49,$A55)</f>
        <v>5.52028301886792</v>
      </c>
      <c r="P55" s="38" t="n">
        <f aca="false">AVERAGEIFS(P$6:P$49,$B$6:$B$49,$A55)</f>
        <v>10.5358490566038</v>
      </c>
    </row>
    <row r="56" customFormat="false" ht="15" hidden="false" customHeight="false" outlineLevel="0" collapsed="false">
      <c r="A56" s="5" t="s">
        <v>265</v>
      </c>
      <c r="B56" s="2"/>
      <c r="C56" s="2"/>
      <c r="D56" s="2"/>
      <c r="E56" s="38" t="n">
        <f aca="false">AVERAGEIFS(E$6:E$49,$B$6:$B$49,$A56)</f>
        <v>4.34080188679245</v>
      </c>
      <c r="F56" s="38" t="n">
        <f aca="false">AVERAGEIFS(F$6:F$49,$B$6:$B$49,$A56)</f>
        <v>6.26509433962264</v>
      </c>
      <c r="G56" s="38" t="n">
        <f aca="false">AVERAGEIFS(G$6:G$49,$B$6:$B$49,$A56)</f>
        <v>25.0603773584906</v>
      </c>
      <c r="H56" s="38" t="n">
        <f aca="false">AVERAGEIFS(H$6:H$49,$B$6:$B$49,$A56)</f>
        <v>50.1207547169811</v>
      </c>
      <c r="I56" s="38" t="n">
        <f aca="false">AVERAGEIFS(I$6:I$49,$B$6:$B$49,$A56)</f>
        <v>100.241509433962</v>
      </c>
      <c r="J56" s="38" t="n">
        <f aca="false">AVERAGEIFS(J$6:J$49,$B$6:$B$49,$A56)</f>
        <v>11.8417452830189</v>
      </c>
      <c r="K56" s="38" t="n">
        <f aca="false">AVERAGEIFS(K$6:K$49,$B$6:$B$49,$A56)</f>
        <v>29.6043632075472</v>
      </c>
      <c r="L56" s="38" t="n">
        <f aca="false">AVERAGEIFS(L$6:L$49,$B$6:$B$49,$A56)</f>
        <v>35.5252358490566</v>
      </c>
      <c r="M56" s="38" t="n">
        <f aca="false">AVERAGEIFS(M$6:M$49,$B$6:$B$49,$A56)</f>
        <v>59.2087264150943</v>
      </c>
      <c r="N56" s="38" t="n">
        <f aca="false">AVERAGEIFS(N$6:N$49,$B$6:$B$49,$A56)</f>
        <v>118.417452830189</v>
      </c>
      <c r="O56" s="38" t="n">
        <f aca="false">AVERAGEIFS(O$6:O$49,$B$6:$B$49,$A56)</f>
        <v>6.39292452830189</v>
      </c>
      <c r="P56" s="38" t="n">
        <f aca="false">AVERAGEIFS(P$6:P$49,$B$6:$B$49,$A56)</f>
        <v>12.4299528301887</v>
      </c>
    </row>
    <row r="57" customFormat="false" ht="15" hidden="false" customHeight="false" outlineLevel="0" collapsed="false">
      <c r="A57" s="5" t="s">
        <v>278</v>
      </c>
      <c r="B57" s="2"/>
      <c r="C57" s="2"/>
      <c r="D57" s="2"/>
      <c r="E57" s="38" t="n">
        <f aca="false">AVERAGEIFS(E$6:E$49,$B$6:$B$49,$A57)</f>
        <v>4.3188679245283</v>
      </c>
      <c r="F57" s="38" t="n">
        <f aca="false">AVERAGEIFS(F$6:F$49,$B$6:$B$49,$A57)</f>
        <v>6.03231132075472</v>
      </c>
      <c r="G57" s="38" t="n">
        <f aca="false">AVERAGEIFS(G$6:G$49,$B$6:$B$49,$A57)</f>
        <v>24.1292452830189</v>
      </c>
      <c r="H57" s="38" t="n">
        <f aca="false">AVERAGEIFS(H$6:H$49,$B$6:$B$49,$A57)</f>
        <v>48.2584905660377</v>
      </c>
      <c r="I57" s="38" t="n">
        <f aca="false">AVERAGEIFS(I$6:I$49,$B$6:$B$49,$A57)</f>
        <v>96.5169811320755</v>
      </c>
      <c r="J57" s="38" t="n">
        <f aca="false">AVERAGEIFS(J$6:J$49,$B$6:$B$49,$A57)</f>
        <v>12.2587264150943</v>
      </c>
      <c r="K57" s="38" t="n">
        <f aca="false">AVERAGEIFS(K$6:K$49,$B$6:$B$49,$A57)</f>
        <v>30.6468160377358</v>
      </c>
      <c r="L57" s="38" t="n">
        <f aca="false">AVERAGEIFS(L$6:L$49,$B$6:$B$49,$A57)</f>
        <v>36.776179245283</v>
      </c>
      <c r="M57" s="38" t="n">
        <f aca="false">AVERAGEIFS(M$6:M$49,$B$6:$B$49,$A57)</f>
        <v>61.2936320754717</v>
      </c>
      <c r="N57" s="38" t="n">
        <f aca="false">AVERAGEIFS(N$6:N$49,$B$6:$B$49,$A57)</f>
        <v>122.587264150943</v>
      </c>
      <c r="O57" s="38" t="n">
        <f aca="false">AVERAGEIFS(O$6:O$49,$B$6:$B$49,$A57)</f>
        <v>6.0247641509434</v>
      </c>
      <c r="P57" s="38" t="n">
        <f aca="false">AVERAGEIFS(P$6:P$49,$B$6:$B$49,$A57)</f>
        <v>11.6278301886792</v>
      </c>
    </row>
    <row r="58" customFormat="false" ht="15" hidden="false" customHeight="false" outlineLevel="0" collapsed="false">
      <c r="A58" s="5" t="s">
        <v>291</v>
      </c>
      <c r="B58" s="2"/>
      <c r="C58" s="2"/>
      <c r="D58" s="2"/>
      <c r="E58" s="38" t="n">
        <f aca="false">AVERAGEIFS(E$6:E$49,$B$6:$B$49,$A58)</f>
        <v>4.18561320754717</v>
      </c>
      <c r="F58" s="38" t="n">
        <f aca="false">AVERAGEIFS(F$6:F$49,$B$6:$B$49,$A58)</f>
        <v>5.91061320754717</v>
      </c>
      <c r="G58" s="38" t="n">
        <f aca="false">AVERAGEIFS(G$6:G$49,$B$6:$B$49,$A58)</f>
        <v>23.6424528301887</v>
      </c>
      <c r="H58" s="38" t="n">
        <f aca="false">AVERAGEIFS(H$6:H$49,$B$6:$B$49,$A58)</f>
        <v>47.2849056603774</v>
      </c>
      <c r="I58" s="38" t="n">
        <f aca="false">AVERAGEIFS(I$6:I$49,$B$6:$B$49,$A58)</f>
        <v>94.5698113207547</v>
      </c>
      <c r="J58" s="38" t="n">
        <f aca="false">AVERAGEIFS(J$6:J$49,$B$6:$B$49,$A58)</f>
        <v>12.7922169811321</v>
      </c>
      <c r="K58" s="38" t="n">
        <f aca="false">AVERAGEIFS(K$6:K$49,$B$6:$B$49,$A58)</f>
        <v>31.9805424528302</v>
      </c>
      <c r="L58" s="38" t="n">
        <f aca="false">AVERAGEIFS(L$6:L$49,$B$6:$B$49,$A58)</f>
        <v>38.3766509433962</v>
      </c>
      <c r="M58" s="38" t="n">
        <f aca="false">AVERAGEIFS(M$6:M$49,$B$6:$B$49,$A58)</f>
        <v>63.9610849056604</v>
      </c>
      <c r="N58" s="38" t="n">
        <f aca="false">AVERAGEIFS(N$6:N$49,$B$6:$B$49,$A58)</f>
        <v>127.922169811321</v>
      </c>
      <c r="O58" s="38" t="n">
        <f aca="false">AVERAGEIFS(O$6:O$49,$B$6:$B$49,$A58)</f>
        <v>5.73278301886792</v>
      </c>
      <c r="P58" s="38" t="n">
        <f aca="false">AVERAGEIFS(P$6:P$49,$B$6:$B$49,$A58)</f>
        <v>10.9471698113208</v>
      </c>
    </row>
    <row r="59" customFormat="false" ht="15" hidden="false" customHeight="false" outlineLevel="0" collapsed="false">
      <c r="A59" s="5" t="s">
        <v>304</v>
      </c>
      <c r="B59" s="2"/>
      <c r="C59" s="2"/>
      <c r="D59" s="2"/>
      <c r="E59" s="38" t="n">
        <f aca="false">AVERAGEIFS(E$6:E$49,$B$6:$B$49,$A59)</f>
        <v>3.95919811320755</v>
      </c>
      <c r="F59" s="38" t="n">
        <f aca="false">AVERAGEIFS(F$6:F$49,$B$6:$B$49,$A59)</f>
        <v>5.25943396226415</v>
      </c>
      <c r="G59" s="38" t="n">
        <f aca="false">AVERAGEIFS(G$6:G$49,$B$6:$B$49,$A59)</f>
        <v>21.0377358490566</v>
      </c>
      <c r="H59" s="38" t="n">
        <f aca="false">AVERAGEIFS(H$6:H$49,$B$6:$B$49,$A59)</f>
        <v>42.0754716981132</v>
      </c>
      <c r="I59" s="38" t="n">
        <f aca="false">AVERAGEIFS(I$6:I$49,$B$6:$B$49,$A59)</f>
        <v>84.1509433962264</v>
      </c>
      <c r="J59" s="38" t="n">
        <f aca="false">AVERAGEIFS(J$6:J$49,$B$6:$B$49,$A59)</f>
        <v>13.6665094339623</v>
      </c>
      <c r="K59" s="38" t="n">
        <f aca="false">AVERAGEIFS(K$6:K$49,$B$6:$B$49,$A59)</f>
        <v>34.1662735849057</v>
      </c>
      <c r="L59" s="38" t="n">
        <f aca="false">AVERAGEIFS(L$6:L$49,$B$6:$B$49,$A59)</f>
        <v>40.9995283018868</v>
      </c>
      <c r="M59" s="38" t="n">
        <f aca="false">AVERAGEIFS(M$6:M$49,$B$6:$B$49,$A59)</f>
        <v>68.3325471698113</v>
      </c>
      <c r="N59" s="38" t="n">
        <f aca="false">AVERAGEIFS(N$6:N$49,$B$6:$B$49,$A59)</f>
        <v>136.665094339623</v>
      </c>
      <c r="O59" s="38" t="n">
        <f aca="false">AVERAGEIFS(O$6:O$49,$B$6:$B$49,$A59)</f>
        <v>5.35731132075472</v>
      </c>
      <c r="P59" s="38" t="n">
        <f aca="false">AVERAGEIFS(P$6:P$49,$B$6:$B$49,$A59)</f>
        <v>10.0426886792453</v>
      </c>
    </row>
    <row r="60" customFormat="false" ht="15" hidden="false" customHeight="false" outlineLevel="0" collapsed="false">
      <c r="A60" s="5" t="s">
        <v>317</v>
      </c>
      <c r="B60" s="2"/>
      <c r="C60" s="2"/>
      <c r="D60" s="2"/>
      <c r="E60" s="38" t="n">
        <f aca="false">AVERAGEIFS(E$6:E$49,$B$6:$B$49,$A60)</f>
        <v>3.9938679245283</v>
      </c>
      <c r="F60" s="38" t="n">
        <f aca="false">AVERAGEIFS(F$6:F$49,$B$6:$B$49,$A60)</f>
        <v>5.48962264150943</v>
      </c>
      <c r="G60" s="38" t="n">
        <f aca="false">AVERAGEIFS(G$6:G$49,$B$6:$B$49,$A60)</f>
        <v>21.9584905660377</v>
      </c>
      <c r="H60" s="38" t="n">
        <f aca="false">AVERAGEIFS(H$6:H$49,$B$6:$B$49,$A60)</f>
        <v>43.9169811320755</v>
      </c>
      <c r="I60" s="38" t="n">
        <f aca="false">AVERAGEIFS(I$6:I$49,$B$6:$B$49,$A60)</f>
        <v>87.8339622641509</v>
      </c>
      <c r="J60" s="38" t="n">
        <f aca="false">AVERAGEIFS(J$6:J$49,$B$6:$B$49,$A60)</f>
        <v>15.3188679245283</v>
      </c>
      <c r="K60" s="38" t="n">
        <f aca="false">AVERAGEIFS(K$6:K$49,$B$6:$B$49,$A60)</f>
        <v>38.2971698113208</v>
      </c>
      <c r="L60" s="38" t="n">
        <f aca="false">AVERAGEIFS(L$6:L$49,$B$6:$B$49,$A60)</f>
        <v>45.9566037735849</v>
      </c>
      <c r="M60" s="38" t="n">
        <f aca="false">AVERAGEIFS(M$6:M$49,$B$6:$B$49,$A60)</f>
        <v>76.5943396226415</v>
      </c>
      <c r="N60" s="38" t="n">
        <f aca="false">AVERAGEIFS(N$6:N$49,$B$6:$B$49,$A60)</f>
        <v>153.188679245283</v>
      </c>
      <c r="O60" s="38" t="n">
        <f aca="false">AVERAGEIFS(O$6:O$49,$B$6:$B$49,$A60)</f>
        <v>6.12995283018868</v>
      </c>
      <c r="P60" s="38" t="n">
        <f aca="false">AVERAGEIFS(P$6:P$49,$B$6:$B$49,$A60)</f>
        <v>10.4655660377358</v>
      </c>
    </row>
    <row r="61" customFormat="false" ht="15" hidden="false" customHeight="false" outlineLevel="0" collapsed="false">
      <c r="A61" s="5" t="s">
        <v>330</v>
      </c>
      <c r="B61" s="2"/>
      <c r="C61" s="2"/>
      <c r="D61" s="2"/>
      <c r="E61" s="38" t="n">
        <f aca="false">AVERAGEIFS(E$6:E$49,$B$6:$B$49,$A61)</f>
        <v>3.74528301886792</v>
      </c>
      <c r="F61" s="38" t="n">
        <f aca="false">AVERAGEIFS(F$6:F$49,$B$6:$B$49,$A61)</f>
        <v>5.21839622641509</v>
      </c>
      <c r="G61" s="38" t="n">
        <f aca="false">AVERAGEIFS(G$6:G$49,$B$6:$B$49,$A61)</f>
        <v>20.8735849056604</v>
      </c>
      <c r="H61" s="38" t="n">
        <f aca="false">AVERAGEIFS(H$6:H$49,$B$6:$B$49,$A61)</f>
        <v>41.7471698113208</v>
      </c>
      <c r="I61" s="38" t="n">
        <f aca="false">AVERAGEIFS(I$6:I$49,$B$6:$B$49,$A61)</f>
        <v>83.4943396226415</v>
      </c>
      <c r="J61" s="38" t="n">
        <f aca="false">AVERAGEIFS(J$6:J$49,$B$6:$B$49,$A61)</f>
        <v>16.7400943396226</v>
      </c>
      <c r="K61" s="38" t="n">
        <f aca="false">AVERAGEIFS(K$6:K$49,$B$6:$B$49,$A61)</f>
        <v>41.8502358490566</v>
      </c>
      <c r="L61" s="38" t="n">
        <f aca="false">AVERAGEIFS(L$6:L$49,$B$6:$B$49,$A61)</f>
        <v>50.2202830188679</v>
      </c>
      <c r="M61" s="38" t="n">
        <f aca="false">AVERAGEIFS(M$6:M$49,$B$6:$B$49,$A61)</f>
        <v>83.7004716981132</v>
      </c>
      <c r="N61" s="38" t="n">
        <f aca="false">AVERAGEIFS(N$6:N$49,$B$6:$B$49,$A61)</f>
        <v>167.400943396226</v>
      </c>
      <c r="O61" s="38" t="n">
        <f aca="false">AVERAGEIFS(O$6:O$49,$B$6:$B$49,$A61)</f>
        <v>7.30047169811321</v>
      </c>
      <c r="P61" s="38" t="n">
        <f aca="false">AVERAGEIFS(P$6:P$49,$B$6:$B$49,$A61)</f>
        <v>11.2337264150943</v>
      </c>
    </row>
    <row r="62" customFormat="false" ht="15" hidden="false" customHeight="false" outlineLevel="0" collapsed="false">
      <c r="A62" s="5" t="s">
        <v>343</v>
      </c>
      <c r="B62" s="2"/>
      <c r="C62" s="2"/>
      <c r="D62" s="2"/>
      <c r="E62" s="38" t="n">
        <f aca="false">AVERAGEIFS(E$6:E$49,$B$6:$B$49,$A62)</f>
        <v>2.63301886792453</v>
      </c>
      <c r="F62" s="38" t="n">
        <f aca="false">AVERAGEIFS(F$6:F$49,$B$6:$B$49,$A62)</f>
        <v>6.52877358490566</v>
      </c>
      <c r="G62" s="38" t="n">
        <f aca="false">AVERAGEIFS(G$6:G$49,$B$6:$B$49,$A62)</f>
        <v>26.1150943396226</v>
      </c>
      <c r="H62" s="38" t="n">
        <f aca="false">AVERAGEIFS(H$6:H$49,$B$6:$B$49,$A62)</f>
        <v>52.2301886792453</v>
      </c>
      <c r="I62" s="38" t="n">
        <f aca="false">AVERAGEIFS(I$6:I$49,$B$6:$B$49,$A62)</f>
        <v>104.460377358491</v>
      </c>
      <c r="J62" s="38" t="n">
        <f aca="false">AVERAGEIFS(J$6:J$49,$B$6:$B$49,$A62)</f>
        <v>17.8193396226415</v>
      </c>
      <c r="K62" s="38" t="n">
        <f aca="false">AVERAGEIFS(K$6:K$49,$B$6:$B$49,$A62)</f>
        <v>44.5483490566038</v>
      </c>
      <c r="L62" s="38" t="n">
        <f aca="false">AVERAGEIFS(L$6:L$49,$B$6:$B$49,$A62)</f>
        <v>53.4580188679245</v>
      </c>
      <c r="M62" s="38" t="n">
        <f aca="false">AVERAGEIFS(M$6:M$49,$B$6:$B$49,$A62)</f>
        <v>89.0966981132075</v>
      </c>
      <c r="N62" s="38" t="n">
        <f aca="false">AVERAGEIFS(N$6:N$49,$B$6:$B$49,$A62)</f>
        <v>178.193396226415</v>
      </c>
      <c r="O62" s="38" t="n">
        <f aca="false">AVERAGEIFS(O$6:O$49,$B$6:$B$49,$A62)</f>
        <v>5.20259433962264</v>
      </c>
      <c r="P62" s="38" t="n">
        <f aca="false">AVERAGEIFS(P$6:P$49,$B$6:$B$49,$A62)</f>
        <v>9.68938679245283</v>
      </c>
    </row>
    <row r="63" customFormat="false" ht="15" hidden="false" customHeight="false" outlineLevel="0" collapsed="false">
      <c r="A63" s="5" t="s">
        <v>356</v>
      </c>
      <c r="B63" s="2"/>
      <c r="C63" s="2"/>
      <c r="D63" s="2"/>
      <c r="E63" s="38" t="n">
        <f aca="false">AVERAGEIFS(E$6:E$49,$B$6:$B$49,$A63)</f>
        <v>1.86415094339623</v>
      </c>
      <c r="F63" s="38" t="n">
        <f aca="false">AVERAGEIFS(F$6:F$49,$B$6:$B$49,$A63)</f>
        <v>5.82547169811321</v>
      </c>
      <c r="G63" s="38" t="n">
        <f aca="false">AVERAGEIFS(G$6:G$49,$B$6:$B$49,$A63)</f>
        <v>23.3018867924528</v>
      </c>
      <c r="H63" s="38" t="n">
        <f aca="false">AVERAGEIFS(H$6:H$49,$B$6:$B$49,$A63)</f>
        <v>46.6037735849057</v>
      </c>
      <c r="I63" s="38" t="n">
        <f aca="false">AVERAGEIFS(I$6:I$49,$B$6:$B$49,$A63)</f>
        <v>93.2075471698113</v>
      </c>
      <c r="J63" s="38" t="n">
        <f aca="false">AVERAGEIFS(J$6:J$49,$B$6:$B$49,$A63)</f>
        <v>19.8188679245283</v>
      </c>
      <c r="K63" s="38" t="n">
        <f aca="false">AVERAGEIFS(K$6:K$49,$B$6:$B$49,$A63)</f>
        <v>49.5471698113208</v>
      </c>
      <c r="L63" s="38" t="n">
        <f aca="false">AVERAGEIFS(L$6:L$49,$B$6:$B$49,$A63)</f>
        <v>59.4566037735849</v>
      </c>
      <c r="M63" s="38" t="n">
        <f aca="false">AVERAGEIFS(M$6:M$49,$B$6:$B$49,$A63)</f>
        <v>99.0943396226415</v>
      </c>
      <c r="N63" s="38" t="n">
        <f aca="false">AVERAGEIFS(N$6:N$49,$B$6:$B$49,$A63)</f>
        <v>198.188679245283</v>
      </c>
      <c r="O63" s="38" t="n">
        <f aca="false">AVERAGEIFS(O$6:O$49,$B$6:$B$49,$A63)</f>
        <v>4.39622641509434</v>
      </c>
      <c r="P63" s="38" t="n">
        <f aca="false">AVERAGEIFS(P$6:P$49,$B$6:$B$49,$A63)</f>
        <v>8.79245283018868</v>
      </c>
    </row>
    <row r="64" customFormat="false" ht="15" hidden="false" customHeight="false" outlineLevel="0" collapsed="false">
      <c r="A64" s="5" t="s">
        <v>369</v>
      </c>
      <c r="B64" s="2"/>
      <c r="C64" s="2"/>
      <c r="D64" s="2"/>
      <c r="E64" s="38" t="n">
        <f aca="false">AVERAGEIFS(E$6:E$49,$B$6:$B$49,$A64)</f>
        <v>1.85660377358491</v>
      </c>
      <c r="F64" s="38" t="n">
        <f aca="false">AVERAGEIFS(F$6:F$49,$B$6:$B$49,$A64)</f>
        <v>5.80188679245283</v>
      </c>
      <c r="G64" s="38" t="n">
        <f aca="false">AVERAGEIFS(G$6:G$49,$B$6:$B$49,$A64)</f>
        <v>23.2075471698113</v>
      </c>
      <c r="H64" s="38" t="n">
        <f aca="false">AVERAGEIFS(H$6:H$49,$B$6:$B$49,$A64)</f>
        <v>46.4150943396226</v>
      </c>
      <c r="I64" s="38" t="n">
        <f aca="false">AVERAGEIFS(I$6:I$49,$B$6:$B$49,$A64)</f>
        <v>92.8301886792453</v>
      </c>
      <c r="J64" s="38" t="n">
        <f aca="false">AVERAGEIFS(J$6:J$49,$B$6:$B$49,$A64)</f>
        <v>21.3224056603774</v>
      </c>
      <c r="K64" s="38" t="n">
        <f aca="false">AVERAGEIFS(K$6:K$49,$B$6:$B$49,$A64)</f>
        <v>53.3060141509434</v>
      </c>
      <c r="L64" s="38" t="n">
        <f aca="false">AVERAGEIFS(L$6:L$49,$B$6:$B$49,$A64)</f>
        <v>63.9672169811321</v>
      </c>
      <c r="M64" s="38" t="n">
        <f aca="false">AVERAGEIFS(M$6:M$49,$B$6:$B$49,$A64)</f>
        <v>106.612028301887</v>
      </c>
      <c r="N64" s="38" t="n">
        <f aca="false">AVERAGEIFS(N$6:N$49,$B$6:$B$49,$A64)</f>
        <v>213.224056603774</v>
      </c>
      <c r="O64" s="38" t="n">
        <f aca="false">AVERAGEIFS(O$6:O$49,$B$6:$B$49,$A64)</f>
        <v>4.45283018867925</v>
      </c>
      <c r="P64" s="38" t="n">
        <f aca="false">AVERAGEIFS(P$6:P$49,$B$6:$B$49,$A64)</f>
        <v>8.90566037735849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0"/>
    <col collapsed="false" customWidth="true" hidden="false" outlineLevel="0" max="16" min="12" style="0" width="12"/>
    <col collapsed="false" customWidth="true" hidden="false" outlineLevel="0" max="17" min="17" style="0" width="13"/>
    <col collapsed="false" customWidth="true" hidden="false" outlineLevel="0" max="18" min="18" style="0" width="34"/>
    <col collapsed="false" customWidth="true" hidden="false" outlineLevel="0" max="19" min="19" style="0" width="12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11"/>
  </cols>
  <sheetData>
    <row r="1" customFormat="false" ht="17.35" hidden="false" customHeight="false" outlineLevel="0" collapsed="false">
      <c r="A1" s="1" t="s">
        <v>385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5" hidden="false" customHeight="false" outlineLevel="0" collapsed="false">
      <c r="A2" s="3" t="s">
        <v>386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A3" s="39" t="s">
        <v>227</v>
      </c>
      <c r="B3" s="37" t="n">
        <f aca="false">INDEX(CMS_PL!$D$6:$D$49,MATCH(B4,CMS_PL!$A$6:$A$49,0))</f>
        <v>2016</v>
      </c>
      <c r="C3" s="37" t="n">
        <f aca="false">INDEX(CMS_PL!$D$6:$D$49,MATCH(C4,CMS_PL!$A$6:$A$49,0))</f>
        <v>2018.5</v>
      </c>
      <c r="D3" s="37" t="n">
        <f aca="false">INDEX(CMS_PL!$D$6:$D$49,MATCH(D4,CMS_PL!$A$6:$A$49,0))</f>
        <v>2021.75</v>
      </c>
      <c r="E3" s="37" t="n">
        <f aca="false">INDEX(CMS_PL!$D$6:$D$49,MATCH(E4,CMS_PL!$A$6:$A$49,0))</f>
        <v>2023.75</v>
      </c>
      <c r="F3" s="37" t="n">
        <f aca="false">INDEX(CMS_PL!$D$6:$D$49,MATCH(F4,CMS_PL!$A$6:$A$49,0))</f>
        <v>2024</v>
      </c>
      <c r="G3" s="37" t="n">
        <f aca="false">INDEX(CMS_PL!$D$6:$D$49,MATCH(G4,CMS_PL!$A$6:$A$49,0))</f>
        <v>2024.25</v>
      </c>
      <c r="H3" s="37" t="n">
        <f aca="false">INDEX(CMS_PL!$D$6:$D$49,MATCH(H4,CMS_PL!$A$6:$A$49,0))</f>
        <v>2025.75</v>
      </c>
      <c r="I3" s="37" t="n">
        <f aca="false">INDEX(CMS_PL!$D$6:$D$49,MATCH(I4,CMS_PL!$A$6:$A$49,0))</f>
        <v>2026.75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false" outlineLevel="0" collapsed="false">
      <c r="A4" s="39" t="s">
        <v>387</v>
      </c>
      <c r="B4" s="5" t="s">
        <v>238</v>
      </c>
      <c r="C4" s="5" t="s">
        <v>271</v>
      </c>
      <c r="D4" s="5" t="s">
        <v>313</v>
      </c>
      <c r="E4" s="5" t="s">
        <v>339</v>
      </c>
      <c r="F4" s="5" t="s">
        <v>342</v>
      </c>
      <c r="G4" s="5" t="s">
        <v>346</v>
      </c>
      <c r="H4" s="5" t="s">
        <v>365</v>
      </c>
      <c r="I4" s="5" t="s">
        <v>378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customFormat="false" ht="54" hidden="false" customHeight="true" outlineLevel="0" collapsed="false">
      <c r="A5" s="10" t="s">
        <v>189</v>
      </c>
      <c r="B5" s="10" t="s">
        <v>388</v>
      </c>
      <c r="C5" s="10" t="s">
        <v>389</v>
      </c>
      <c r="D5" s="10" t="s">
        <v>390</v>
      </c>
      <c r="E5" s="10" t="s">
        <v>391</v>
      </c>
      <c r="F5" s="10" t="s">
        <v>392</v>
      </c>
      <c r="G5" s="10" t="s">
        <v>393</v>
      </c>
      <c r="H5" s="10" t="s">
        <v>394</v>
      </c>
      <c r="I5" s="10" t="s">
        <v>395</v>
      </c>
      <c r="J5" s="10" t="s">
        <v>396</v>
      </c>
      <c r="K5" s="10" t="s">
        <v>397</v>
      </c>
      <c r="L5" s="10" t="s">
        <v>398</v>
      </c>
      <c r="M5" s="10" t="s">
        <v>399</v>
      </c>
      <c r="N5" s="10" t="s">
        <v>400</v>
      </c>
      <c r="O5" s="10" t="s">
        <v>401</v>
      </c>
      <c r="P5" s="10" t="s">
        <v>402</v>
      </c>
      <c r="Q5" s="10" t="s">
        <v>403</v>
      </c>
      <c r="R5" s="10" t="s">
        <v>404</v>
      </c>
      <c r="S5" s="10" t="s">
        <v>405</v>
      </c>
      <c r="T5" s="10" t="s">
        <v>406</v>
      </c>
      <c r="U5" s="10" t="s">
        <v>407</v>
      </c>
      <c r="V5" s="10" t="s">
        <v>408</v>
      </c>
    </row>
    <row r="6" customFormat="false" ht="15" hidden="false" customHeight="false" outlineLevel="0" collapsed="false">
      <c r="A6" s="6" t="s">
        <v>194</v>
      </c>
      <c r="B6" s="13" t="n">
        <f aca="false">INDEX(ASP_per_vial!$E$6:$P$49,MATCH(B$4,ASP_per_vial!$A$6:$A$49,0),MATCH($A6,ASP_per_vial!$E$5:$P$5,0))</f>
        <v>2.73396226415094</v>
      </c>
      <c r="C6" s="13" t="n">
        <f aca="false">INDEX(ASP_per_vial!$E$6:$P$49,MATCH(C$4,ASP_per_vial!$A$6:$A$49,0),MATCH($A6,ASP_per_vial!$E$5:$P$5,0))</f>
        <v>4.53301886792453</v>
      </c>
      <c r="D6" s="13" t="n">
        <f aca="false">INDEX(ASP_per_vial!$E$6:$P$49,MATCH(D$4,ASP_per_vial!$A$6:$A$49,0),MATCH($A6,ASP_per_vial!$E$5:$P$5,0))</f>
        <v>3.87547169811321</v>
      </c>
      <c r="E6" s="13" t="n">
        <f aca="false">INDEX(ASP_per_vial!$E$6:$P$49,MATCH(E$4,ASP_per_vial!$A$6:$A$49,0),MATCH($A6,ASP_per_vial!$E$5:$P$5,0))</f>
        <v>3.23867924528302</v>
      </c>
      <c r="F6" s="13" t="n">
        <f aca="false">INDEX(ASP_per_vial!$E$6:$P$49,MATCH(F$4,ASP_per_vial!$A$6:$A$49,0),MATCH($A6,ASP_per_vial!$E$5:$P$5,0))</f>
        <v>3.95094339622641</v>
      </c>
      <c r="G6" s="13" t="n">
        <f aca="false">INDEX(ASP_per_vial!$E$6:$P$49,MATCH(G$4,ASP_per_vial!$A$6:$A$49,0),MATCH($A6,ASP_per_vial!$E$5:$P$5,0))</f>
        <v>2.06037735849057</v>
      </c>
      <c r="H6" s="13" t="n">
        <f aca="false">INDEX(ASP_per_vial!$E$6:$P$49,MATCH(H$4,ASP_per_vial!$A$6:$A$49,0),MATCH($A6,ASP_per_vial!$E$5:$P$5,0))</f>
        <v>1.58490566037736</v>
      </c>
      <c r="I6" s="13" t="n">
        <f aca="false">INDEX(ASP_per_vial!$E$6:$P$49,MATCH(I$4,ASP_per_vial!$A$6:$A$49,0),MATCH($A6,ASP_per_vial!$E$5:$P$5,0))</f>
        <v>1.92452830188679</v>
      </c>
      <c r="J6" s="38" t="n">
        <f aca="false">MAX(INDEX(ASP_per_vial!$E$6:$P$49,0,MATCH($A6,ASP_per_vial!$E$5:$P$5,0)))</f>
        <v>4.59622641509434</v>
      </c>
      <c r="K6" s="7" t="str">
        <f aca="false">INDEX(ASP_per_vial!$A$6:$A$49,MATCH(J6,INDEX(ASP_per_vial!$E$6:$P$49,0,MATCH($A6,ASP_per_vial!$E$5:$P$5,0)),0))</f>
        <v>2019-Q1</v>
      </c>
      <c r="L6" s="40" t="n">
        <f aca="false">I6/H6-1</f>
        <v>0.214285714285714</v>
      </c>
      <c r="M6" s="40" t="n">
        <f aca="false">(I6/E6)^(1/(I$3-E$3))-1</f>
        <v>-0.159278563024747</v>
      </c>
      <c r="N6" s="40" t="n">
        <f aca="false">(I6/D6)^(1/(I$3-D$3))-1</f>
        <v>-0.130639414585382</v>
      </c>
      <c r="O6" s="40" t="n">
        <f aca="false">(I6/B6)^(1/(I$3-B$3))-1</f>
        <v>-0.0321302637926402</v>
      </c>
      <c r="P6" s="40" t="n">
        <f aca="false">C6/B6-1</f>
        <v>0.658040027605245</v>
      </c>
      <c r="Q6" s="40" t="n">
        <f aca="false">I6/G6-1</f>
        <v>-0.0659340659340659</v>
      </c>
      <c r="R6" s="39" t="s">
        <v>409</v>
      </c>
      <c r="S6" s="38" t="n">
        <f aca="false">_xlfn.MAXIFS(INDEX(ASP_per_vial!$E$6:$P$49,0,MATCH($A6,ASP_per_vial!$E$5:$P$5,0)),ASP_per_vial!$C$6:$C$49,"&lt;"&amp;Assumptions!$B$8)</f>
        <v>4.59622641509434</v>
      </c>
      <c r="T6" s="7" t="str">
        <f aca="false">INDEX(ASP_per_vial!$A$6:$A$49,MATCH(S6,INDEX(ASP_per_vial!$E$6:$P$49,0,MATCH($A6,ASP_per_vial!$E$5:$P$5,0)),0))</f>
        <v>2019-Q1</v>
      </c>
      <c r="U6" s="38" t="n">
        <f aca="false">_xlfn.MAXIFS(INDEX(ASP_per_vial!$E$6:$P$49,0,MATCH($A6,ASP_per_vial!$E$5:$P$5,0)),ASP_per_vial!$C$6:$C$49,"&gt;="&amp;Assumptions!$B$8)</f>
        <v>2.29433962264151</v>
      </c>
      <c r="V6" s="7" t="str">
        <f aca="false">INDEX(ASP_per_vial!$A$6:$A$49,MATCH(U6,INDEX(ASP_per_vial!$E$6:$P$49,0,MATCH($A6,ASP_per_vial!$E$5:$P$5,0)),0))</f>
        <v>2024-Q4</v>
      </c>
    </row>
    <row r="7" customFormat="false" ht="15" hidden="false" customHeight="false" outlineLevel="0" collapsed="false">
      <c r="A7" s="6" t="s">
        <v>198</v>
      </c>
      <c r="B7" s="13" t="n">
        <f aca="false">INDEX(ASP_per_vial!$E$6:$P$49,MATCH(B$4,ASP_per_vial!$A$6:$A$49,0),MATCH($A7,ASP_per_vial!$E$5:$P$5,0))</f>
        <v>3.87264150943396</v>
      </c>
      <c r="C7" s="13" t="n">
        <f aca="false">INDEX(ASP_per_vial!$E$6:$P$49,MATCH(C$4,ASP_per_vial!$A$6:$A$49,0),MATCH($A7,ASP_per_vial!$E$5:$P$5,0))</f>
        <v>6.57075471698113</v>
      </c>
      <c r="D7" s="13" t="n">
        <f aca="false">INDEX(ASP_per_vial!$E$6:$P$49,MATCH(D$4,ASP_per_vial!$A$6:$A$49,0),MATCH($A7,ASP_per_vial!$E$5:$P$5,0))</f>
        <v>5.25</v>
      </c>
      <c r="E7" s="13" t="n">
        <f aca="false">INDEX(ASP_per_vial!$E$6:$P$49,MATCH(E$4,ASP_per_vial!$A$6:$A$49,0),MATCH($A7,ASP_per_vial!$E$5:$P$5,0))</f>
        <v>4.70283018867925</v>
      </c>
      <c r="F7" s="13" t="n">
        <f aca="false">INDEX(ASP_per_vial!$E$6:$P$49,MATCH(F$4,ASP_per_vial!$A$6:$A$49,0),MATCH($A7,ASP_per_vial!$E$5:$P$5,0))</f>
        <v>5.54905660377358</v>
      </c>
      <c r="G7" s="13" t="n">
        <f aca="false">INDEX(ASP_per_vial!$E$6:$P$49,MATCH(G$4,ASP_per_vial!$A$6:$A$49,0),MATCH($A7,ASP_per_vial!$E$5:$P$5,0))</f>
        <v>6.43867924528302</v>
      </c>
      <c r="H7" s="13" t="n">
        <f aca="false">INDEX(ASP_per_vial!$E$6:$P$49,MATCH(H$4,ASP_per_vial!$A$6:$A$49,0),MATCH($A7,ASP_per_vial!$E$5:$P$5,0))</f>
        <v>4.95283018867925</v>
      </c>
      <c r="I7" s="13" t="n">
        <f aca="false">INDEX(ASP_per_vial!$E$6:$P$49,MATCH(I$4,ASP_per_vial!$A$6:$A$49,0),MATCH($A7,ASP_per_vial!$E$5:$P$5,0))</f>
        <v>6.01415094339623</v>
      </c>
      <c r="J7" s="38" t="n">
        <f aca="false">MAX(INDEX(ASP_per_vial!$E$6:$P$49,0,MATCH($A7,ASP_per_vial!$E$5:$P$5,0)))</f>
        <v>7.16981132075472</v>
      </c>
      <c r="K7" s="7" t="str">
        <f aca="false">INDEX(ASP_per_vial!$A$6:$A$49,MATCH(J7,INDEX(ASP_per_vial!$E$6:$P$49,0,MATCH($A7,ASP_per_vial!$E$5:$P$5,0)),0))</f>
        <v>2024-Q4</v>
      </c>
      <c r="L7" s="40" t="n">
        <f aca="false">I7/H7-1</f>
        <v>0.214285714285714</v>
      </c>
      <c r="M7" s="40" t="n">
        <f aca="false">(I7/E7)^(1/(I$3-E$3))-1</f>
        <v>0.0854379678435993</v>
      </c>
      <c r="N7" s="40" t="n">
        <f aca="false">(I7/D7)^(1/(I$3-D$3))-1</f>
        <v>0.0275500958278831</v>
      </c>
      <c r="O7" s="40" t="n">
        <f aca="false">(I7/B7)^(1/(I$3-B$3))-1</f>
        <v>0.0417967045353687</v>
      </c>
      <c r="P7" s="40" t="n">
        <f aca="false">C7/B7-1</f>
        <v>0.696711327649208</v>
      </c>
      <c r="Q7" s="40" t="n">
        <f aca="false">I7/G7-1</f>
        <v>-0.0659340659340659</v>
      </c>
      <c r="R7" s="39" t="s">
        <v>409</v>
      </c>
      <c r="S7" s="38" t="n">
        <f aca="false">_xlfn.MAXIFS(INDEX(ASP_per_vial!$E$6:$P$49,0,MATCH($A7,ASP_per_vial!$E$5:$P$5,0)),ASP_per_vial!$C$6:$C$49,"&lt;"&amp;Assumptions!$B$8)</f>
        <v>6.57075471698113</v>
      </c>
      <c r="T7" s="7" t="str">
        <f aca="false">INDEX(ASP_per_vial!$A$6:$A$49,MATCH(S7,INDEX(ASP_per_vial!$E$6:$P$49,0,MATCH($A7,ASP_per_vial!$E$5:$P$5,0)),0))</f>
        <v>2018-Q3</v>
      </c>
      <c r="U7" s="38" t="n">
        <f aca="false">_xlfn.MAXIFS(INDEX(ASP_per_vial!$E$6:$P$49,0,MATCH($A7,ASP_per_vial!$E$5:$P$5,0)),ASP_per_vial!$C$6:$C$49,"&gt;="&amp;Assumptions!$B$8)</f>
        <v>7.16981132075472</v>
      </c>
      <c r="V7" s="7" t="str">
        <f aca="false">INDEX(ASP_per_vial!$A$6:$A$49,MATCH(U7,INDEX(ASP_per_vial!$E$6:$P$49,0,MATCH($A7,ASP_per_vial!$E$5:$P$5,0)),0))</f>
        <v>2024-Q4</v>
      </c>
    </row>
    <row r="8" customFormat="false" ht="15" hidden="false" customHeight="false" outlineLevel="0" collapsed="false">
      <c r="A8" s="6" t="s">
        <v>201</v>
      </c>
      <c r="B8" s="13" t="n">
        <f aca="false">INDEX(ASP_per_vial!$E$6:$P$49,MATCH(B$4,ASP_per_vial!$A$6:$A$49,0),MATCH($A8,ASP_per_vial!$E$5:$P$5,0))</f>
        <v>15.4905660377359</v>
      </c>
      <c r="C8" s="13" t="n">
        <f aca="false">INDEX(ASP_per_vial!$E$6:$P$49,MATCH(C$4,ASP_per_vial!$A$6:$A$49,0),MATCH($A8,ASP_per_vial!$E$5:$P$5,0))</f>
        <v>26.2830188679245</v>
      </c>
      <c r="D8" s="13" t="n">
        <f aca="false">INDEX(ASP_per_vial!$E$6:$P$49,MATCH(D$4,ASP_per_vial!$A$6:$A$49,0),MATCH($A8,ASP_per_vial!$E$5:$P$5,0))</f>
        <v>21</v>
      </c>
      <c r="E8" s="13" t="n">
        <f aca="false">INDEX(ASP_per_vial!$E$6:$P$49,MATCH(E$4,ASP_per_vial!$A$6:$A$49,0),MATCH($A8,ASP_per_vial!$E$5:$P$5,0))</f>
        <v>18.811320754717</v>
      </c>
      <c r="F8" s="13" t="n">
        <f aca="false">INDEX(ASP_per_vial!$E$6:$P$49,MATCH(F$4,ASP_per_vial!$A$6:$A$49,0),MATCH($A8,ASP_per_vial!$E$5:$P$5,0))</f>
        <v>22.1962264150943</v>
      </c>
      <c r="G8" s="13" t="n">
        <f aca="false">INDEX(ASP_per_vial!$E$6:$P$49,MATCH(G$4,ASP_per_vial!$A$6:$A$49,0),MATCH($A8,ASP_per_vial!$E$5:$P$5,0))</f>
        <v>25.7547169811321</v>
      </c>
      <c r="H8" s="13" t="n">
        <f aca="false">INDEX(ASP_per_vial!$E$6:$P$49,MATCH(H$4,ASP_per_vial!$A$6:$A$49,0),MATCH($A8,ASP_per_vial!$E$5:$P$5,0))</f>
        <v>19.811320754717</v>
      </c>
      <c r="I8" s="13" t="n">
        <f aca="false">INDEX(ASP_per_vial!$E$6:$P$49,MATCH(I$4,ASP_per_vial!$A$6:$A$49,0),MATCH($A8,ASP_per_vial!$E$5:$P$5,0))</f>
        <v>24.0566037735849</v>
      </c>
      <c r="J8" s="38" t="n">
        <f aca="false">MAX(INDEX(ASP_per_vial!$E$6:$P$49,0,MATCH($A8,ASP_per_vial!$E$5:$P$5,0)))</f>
        <v>28.6792452830189</v>
      </c>
      <c r="K8" s="7" t="str">
        <f aca="false">INDEX(ASP_per_vial!$A$6:$A$49,MATCH(J8,INDEX(ASP_per_vial!$E$6:$P$49,0,MATCH($A8,ASP_per_vial!$E$5:$P$5,0)),0))</f>
        <v>2024-Q4</v>
      </c>
      <c r="L8" s="40" t="n">
        <f aca="false">I8/H8-1</f>
        <v>0.214285714285714</v>
      </c>
      <c r="M8" s="40" t="n">
        <f aca="false">(I8/E8)^(1/(I$3-E$3))-1</f>
        <v>0.0854379678435993</v>
      </c>
      <c r="N8" s="40" t="n">
        <f aca="false">(I8/D8)^(1/(I$3-D$3))-1</f>
        <v>0.0275500958278831</v>
      </c>
      <c r="O8" s="40" t="n">
        <f aca="false">(I8/B8)^(1/(I$3-B$3))-1</f>
        <v>0.0417967045353687</v>
      </c>
      <c r="P8" s="40" t="n">
        <f aca="false">C8/B8-1</f>
        <v>0.696711327649208</v>
      </c>
      <c r="Q8" s="40" t="n">
        <f aca="false">I8/G8-1</f>
        <v>-0.0659340659340659</v>
      </c>
      <c r="R8" s="39" t="s">
        <v>409</v>
      </c>
      <c r="S8" s="38" t="n">
        <f aca="false">_xlfn.MAXIFS(INDEX(ASP_per_vial!$E$6:$P$49,0,MATCH($A8,ASP_per_vial!$E$5:$P$5,0)),ASP_per_vial!$C$6:$C$49,"&lt;"&amp;Assumptions!$B$8)</f>
        <v>26.2830188679245</v>
      </c>
      <c r="T8" s="7" t="str">
        <f aca="false">INDEX(ASP_per_vial!$A$6:$A$49,MATCH(S8,INDEX(ASP_per_vial!$E$6:$P$49,0,MATCH($A8,ASP_per_vial!$E$5:$P$5,0)),0))</f>
        <v>2018-Q3</v>
      </c>
      <c r="U8" s="38" t="n">
        <f aca="false">_xlfn.MAXIFS(INDEX(ASP_per_vial!$E$6:$P$49,0,MATCH($A8,ASP_per_vial!$E$5:$P$5,0)),ASP_per_vial!$C$6:$C$49,"&gt;="&amp;Assumptions!$B$8)</f>
        <v>28.6792452830189</v>
      </c>
      <c r="V8" s="7" t="str">
        <f aca="false">INDEX(ASP_per_vial!$A$6:$A$49,MATCH(U8,INDEX(ASP_per_vial!$E$6:$P$49,0,MATCH($A8,ASP_per_vial!$E$5:$P$5,0)),0))</f>
        <v>2024-Q4</v>
      </c>
    </row>
    <row r="9" customFormat="false" ht="15" hidden="false" customHeight="false" outlineLevel="0" collapsed="false">
      <c r="A9" s="6" t="s">
        <v>203</v>
      </c>
      <c r="B9" s="13" t="n">
        <f aca="false">INDEX(ASP_per_vial!$E$6:$P$49,MATCH(B$4,ASP_per_vial!$A$6:$A$49,0),MATCH($A9,ASP_per_vial!$E$5:$P$5,0))</f>
        <v>30.9811320754717</v>
      </c>
      <c r="C9" s="13" t="n">
        <f aca="false">INDEX(ASP_per_vial!$E$6:$P$49,MATCH(C$4,ASP_per_vial!$A$6:$A$49,0),MATCH($A9,ASP_per_vial!$E$5:$P$5,0))</f>
        <v>52.5660377358491</v>
      </c>
      <c r="D9" s="13" t="n">
        <f aca="false">INDEX(ASP_per_vial!$E$6:$P$49,MATCH(D$4,ASP_per_vial!$A$6:$A$49,0),MATCH($A9,ASP_per_vial!$E$5:$P$5,0))</f>
        <v>42</v>
      </c>
      <c r="E9" s="13" t="n">
        <f aca="false">INDEX(ASP_per_vial!$E$6:$P$49,MATCH(E$4,ASP_per_vial!$A$6:$A$49,0),MATCH($A9,ASP_per_vial!$E$5:$P$5,0))</f>
        <v>37.622641509434</v>
      </c>
      <c r="F9" s="13" t="n">
        <f aca="false">INDEX(ASP_per_vial!$E$6:$P$49,MATCH(F$4,ASP_per_vial!$A$6:$A$49,0),MATCH($A9,ASP_per_vial!$E$5:$P$5,0))</f>
        <v>44.3924528301887</v>
      </c>
      <c r="G9" s="13" t="n">
        <f aca="false">INDEX(ASP_per_vial!$E$6:$P$49,MATCH(G$4,ASP_per_vial!$A$6:$A$49,0),MATCH($A9,ASP_per_vial!$E$5:$P$5,0))</f>
        <v>51.5094339622642</v>
      </c>
      <c r="H9" s="13" t="n">
        <f aca="false">INDEX(ASP_per_vial!$E$6:$P$49,MATCH(H$4,ASP_per_vial!$A$6:$A$49,0),MATCH($A9,ASP_per_vial!$E$5:$P$5,0))</f>
        <v>39.622641509434</v>
      </c>
      <c r="I9" s="13" t="n">
        <f aca="false">INDEX(ASP_per_vial!$E$6:$P$49,MATCH(I$4,ASP_per_vial!$A$6:$A$49,0),MATCH($A9,ASP_per_vial!$E$5:$P$5,0))</f>
        <v>48.1132075471698</v>
      </c>
      <c r="J9" s="38" t="n">
        <f aca="false">MAX(INDEX(ASP_per_vial!$E$6:$P$49,0,MATCH($A9,ASP_per_vial!$E$5:$P$5,0)))</f>
        <v>57.3584905660377</v>
      </c>
      <c r="K9" s="7" t="str">
        <f aca="false">INDEX(ASP_per_vial!$A$6:$A$49,MATCH(J9,INDEX(ASP_per_vial!$E$6:$P$49,0,MATCH($A9,ASP_per_vial!$E$5:$P$5,0)),0))</f>
        <v>2024-Q4</v>
      </c>
      <c r="L9" s="40" t="n">
        <f aca="false">I9/H9-1</f>
        <v>0.214285714285714</v>
      </c>
      <c r="M9" s="40" t="n">
        <f aca="false">(I9/E9)^(1/(I$3-E$3))-1</f>
        <v>0.0854379678435993</v>
      </c>
      <c r="N9" s="40" t="n">
        <f aca="false">(I9/D9)^(1/(I$3-D$3))-1</f>
        <v>0.0275500958278831</v>
      </c>
      <c r="O9" s="40" t="n">
        <f aca="false">(I9/B9)^(1/(I$3-B$3))-1</f>
        <v>0.0417967045353687</v>
      </c>
      <c r="P9" s="40" t="n">
        <f aca="false">C9/B9-1</f>
        <v>0.696711327649208</v>
      </c>
      <c r="Q9" s="40" t="n">
        <f aca="false">I9/G9-1</f>
        <v>-0.0659340659340659</v>
      </c>
      <c r="R9" s="39" t="s">
        <v>409</v>
      </c>
      <c r="S9" s="38" t="n">
        <f aca="false">_xlfn.MAXIFS(INDEX(ASP_per_vial!$E$6:$P$49,0,MATCH($A9,ASP_per_vial!$E$5:$P$5,0)),ASP_per_vial!$C$6:$C$49,"&lt;"&amp;Assumptions!$B$8)</f>
        <v>52.5660377358491</v>
      </c>
      <c r="T9" s="7" t="str">
        <f aca="false">INDEX(ASP_per_vial!$A$6:$A$49,MATCH(S9,INDEX(ASP_per_vial!$E$6:$P$49,0,MATCH($A9,ASP_per_vial!$E$5:$P$5,0)),0))</f>
        <v>2018-Q3</v>
      </c>
      <c r="U9" s="38" t="n">
        <f aca="false">_xlfn.MAXIFS(INDEX(ASP_per_vial!$E$6:$P$49,0,MATCH($A9,ASP_per_vial!$E$5:$P$5,0)),ASP_per_vial!$C$6:$C$49,"&gt;="&amp;Assumptions!$B$8)</f>
        <v>57.3584905660377</v>
      </c>
      <c r="V9" s="7" t="str">
        <f aca="false">INDEX(ASP_per_vial!$A$6:$A$49,MATCH(U9,INDEX(ASP_per_vial!$E$6:$P$49,0,MATCH($A9,ASP_per_vial!$E$5:$P$5,0)),0))</f>
        <v>2024-Q4</v>
      </c>
    </row>
    <row r="10" customFormat="false" ht="15" hidden="false" customHeight="false" outlineLevel="0" collapsed="false">
      <c r="A10" s="6" t="s">
        <v>204</v>
      </c>
      <c r="B10" s="13" t="n">
        <f aca="false">INDEX(ASP_per_vial!$E$6:$P$49,MATCH(B$4,ASP_per_vial!$A$6:$A$49,0),MATCH($A10,ASP_per_vial!$E$5:$P$5,0))</f>
        <v>61.9622641509434</v>
      </c>
      <c r="C10" s="13" t="n">
        <f aca="false">INDEX(ASP_per_vial!$E$6:$P$49,MATCH(C$4,ASP_per_vial!$A$6:$A$49,0),MATCH($A10,ASP_per_vial!$E$5:$P$5,0))</f>
        <v>105.132075471698</v>
      </c>
      <c r="D10" s="13" t="n">
        <f aca="false">INDEX(ASP_per_vial!$E$6:$P$49,MATCH(D$4,ASP_per_vial!$A$6:$A$49,0),MATCH($A10,ASP_per_vial!$E$5:$P$5,0))</f>
        <v>84</v>
      </c>
      <c r="E10" s="13" t="n">
        <f aca="false">INDEX(ASP_per_vial!$E$6:$P$49,MATCH(E$4,ASP_per_vial!$A$6:$A$49,0),MATCH($A10,ASP_per_vial!$E$5:$P$5,0))</f>
        <v>75.2452830188679</v>
      </c>
      <c r="F10" s="13" t="n">
        <f aca="false">INDEX(ASP_per_vial!$E$6:$P$49,MATCH(F$4,ASP_per_vial!$A$6:$A$49,0),MATCH($A10,ASP_per_vial!$E$5:$P$5,0))</f>
        <v>88.7849056603774</v>
      </c>
      <c r="G10" s="13" t="n">
        <f aca="false">INDEX(ASP_per_vial!$E$6:$P$49,MATCH(G$4,ASP_per_vial!$A$6:$A$49,0),MATCH($A10,ASP_per_vial!$E$5:$P$5,0))</f>
        <v>103.018867924528</v>
      </c>
      <c r="H10" s="13" t="n">
        <f aca="false">INDEX(ASP_per_vial!$E$6:$P$49,MATCH(H$4,ASP_per_vial!$A$6:$A$49,0),MATCH($A10,ASP_per_vial!$E$5:$P$5,0))</f>
        <v>79.2452830188679</v>
      </c>
      <c r="I10" s="13" t="n">
        <f aca="false">INDEX(ASP_per_vial!$E$6:$P$49,MATCH(I$4,ASP_per_vial!$A$6:$A$49,0),MATCH($A10,ASP_per_vial!$E$5:$P$5,0))</f>
        <v>96.2264150943396</v>
      </c>
      <c r="J10" s="38" t="n">
        <f aca="false">MAX(INDEX(ASP_per_vial!$E$6:$P$49,0,MATCH($A10,ASP_per_vial!$E$5:$P$5,0)))</f>
        <v>114.716981132075</v>
      </c>
      <c r="K10" s="7" t="str">
        <f aca="false">INDEX(ASP_per_vial!$A$6:$A$49,MATCH(J10,INDEX(ASP_per_vial!$E$6:$P$49,0,MATCH($A10,ASP_per_vial!$E$5:$P$5,0)),0))</f>
        <v>2024-Q4</v>
      </c>
      <c r="L10" s="40" t="n">
        <f aca="false">I10/H10-1</f>
        <v>0.214285714285714</v>
      </c>
      <c r="M10" s="40" t="n">
        <f aca="false">(I10/E10)^(1/(I$3-E$3))-1</f>
        <v>0.0854379678435993</v>
      </c>
      <c r="N10" s="40" t="n">
        <f aca="false">(I10/D10)^(1/(I$3-D$3))-1</f>
        <v>0.0275500958278831</v>
      </c>
      <c r="O10" s="40" t="n">
        <f aca="false">(I10/B10)^(1/(I$3-B$3))-1</f>
        <v>0.0417967045353687</v>
      </c>
      <c r="P10" s="40" t="n">
        <f aca="false">C10/B10-1</f>
        <v>0.696711327649208</v>
      </c>
      <c r="Q10" s="40" t="n">
        <f aca="false">I10/G10-1</f>
        <v>-0.0659340659340659</v>
      </c>
      <c r="R10" s="39" t="s">
        <v>409</v>
      </c>
      <c r="S10" s="38" t="n">
        <f aca="false">_xlfn.MAXIFS(INDEX(ASP_per_vial!$E$6:$P$49,0,MATCH($A10,ASP_per_vial!$E$5:$P$5,0)),ASP_per_vial!$C$6:$C$49,"&lt;"&amp;Assumptions!$B$8)</f>
        <v>105.132075471698</v>
      </c>
      <c r="T10" s="7" t="str">
        <f aca="false">INDEX(ASP_per_vial!$A$6:$A$49,MATCH(S10,INDEX(ASP_per_vial!$E$6:$P$49,0,MATCH($A10,ASP_per_vial!$E$5:$P$5,0)),0))</f>
        <v>2018-Q3</v>
      </c>
      <c r="U10" s="38" t="n">
        <f aca="false">_xlfn.MAXIFS(INDEX(ASP_per_vial!$E$6:$P$49,0,MATCH($A10,ASP_per_vial!$E$5:$P$5,0)),ASP_per_vial!$C$6:$C$49,"&gt;="&amp;Assumptions!$B$8)</f>
        <v>114.716981132075</v>
      </c>
      <c r="V10" s="7" t="str">
        <f aca="false">INDEX(ASP_per_vial!$A$6:$A$49,MATCH(U10,INDEX(ASP_per_vial!$E$6:$P$49,0,MATCH($A10,ASP_per_vial!$E$5:$P$5,0)),0))</f>
        <v>2024-Q4</v>
      </c>
    </row>
    <row r="11" customFormat="false" ht="15" hidden="false" customHeight="false" outlineLevel="0" collapsed="false">
      <c r="A11" s="6" t="s">
        <v>205</v>
      </c>
      <c r="B11" s="13" t="n">
        <f aca="false">INDEX(ASP_per_vial!$E$6:$P$49,MATCH(B$4,ASP_per_vial!$A$6:$A$49,0),MATCH($A11,ASP_per_vial!$E$5:$P$5,0))</f>
        <v>7.07735849056604</v>
      </c>
      <c r="C11" s="13" t="n">
        <f aca="false">INDEX(ASP_per_vial!$E$6:$P$49,MATCH(C$4,ASP_per_vial!$A$6:$A$49,0),MATCH($A11,ASP_per_vial!$E$5:$P$5,0))</f>
        <v>12.4311320754717</v>
      </c>
      <c r="D11" s="13" t="n">
        <f aca="false">INDEX(ASP_per_vial!$E$6:$P$49,MATCH(D$4,ASP_per_vial!$A$6:$A$49,0),MATCH($A11,ASP_per_vial!$E$5:$P$5,0))</f>
        <v>13.972641509434</v>
      </c>
      <c r="E11" s="13" t="n">
        <f aca="false">INDEX(ASP_per_vial!$E$6:$P$49,MATCH(E$4,ASP_per_vial!$A$6:$A$49,0),MATCH($A11,ASP_per_vial!$E$5:$P$5,0))</f>
        <v>16.6716981132075</v>
      </c>
      <c r="F11" s="13" t="n">
        <f aca="false">INDEX(ASP_per_vial!$E$6:$P$49,MATCH(F$4,ASP_per_vial!$A$6:$A$49,0),MATCH($A11,ASP_per_vial!$E$5:$P$5,0))</f>
        <v>16.8349056603774</v>
      </c>
      <c r="G11" s="13" t="n">
        <f aca="false">INDEX(ASP_per_vial!$E$6:$P$49,MATCH(G$4,ASP_per_vial!$A$6:$A$49,0),MATCH($A11,ASP_per_vial!$E$5:$P$5,0))</f>
        <v>17.4141509433962</v>
      </c>
      <c r="H11" s="13" t="n">
        <f aca="false">INDEX(ASP_per_vial!$E$6:$P$49,MATCH(H$4,ASP_per_vial!$A$6:$A$49,0),MATCH($A11,ASP_per_vial!$E$5:$P$5,0))</f>
        <v>20.1056603773585</v>
      </c>
      <c r="I11" s="13" t="n">
        <f aca="false">INDEX(ASP_per_vial!$E$6:$P$49,MATCH(I$4,ASP_per_vial!$A$6:$A$49,0),MATCH($A11,ASP_per_vial!$E$5:$P$5,0))</f>
        <v>21.838679245283</v>
      </c>
      <c r="J11" s="38" t="n">
        <f aca="false">MAX(INDEX(ASP_per_vial!$E$6:$P$49,0,MATCH($A11,ASP_per_vial!$E$5:$P$5,0)))</f>
        <v>21.838679245283</v>
      </c>
      <c r="K11" s="7" t="str">
        <f aca="false">INDEX(ASP_per_vial!$A$6:$A$49,MATCH(J11,INDEX(ASP_per_vial!$E$6:$P$49,0,MATCH($A11,ASP_per_vial!$E$5:$P$5,0)),0))</f>
        <v>2026-Q4</v>
      </c>
      <c r="L11" s="40" t="n">
        <f aca="false">I11/H11-1</f>
        <v>0.0861955705705706</v>
      </c>
      <c r="M11" s="40" t="n">
        <f aca="false">(I11/E11)^(1/(I$3-E$3))-1</f>
        <v>0.0941633846665313</v>
      </c>
      <c r="N11" s="40" t="n">
        <f aca="false">(I11/D11)^(1/(I$3-D$3))-1</f>
        <v>0.0934264382322367</v>
      </c>
      <c r="O11" s="40" t="n">
        <f aca="false">(I11/B11)^(1/(I$3-B$3))-1</f>
        <v>0.11050728434684</v>
      </c>
      <c r="P11" s="40" t="n">
        <f aca="false">C11/B11-1</f>
        <v>0.756464942681951</v>
      </c>
      <c r="Q11" s="40" t="n">
        <f aca="false">I11/G11-1</f>
        <v>0.254076602199469</v>
      </c>
      <c r="R11" s="39"/>
      <c r="S11" s="38" t="n">
        <f aca="false">_xlfn.MAXIFS(INDEX(ASP_per_vial!$E$6:$P$49,0,MATCH($A11,ASP_per_vial!$E$5:$P$5,0)),ASP_per_vial!$C$6:$C$49,"&lt;"&amp;Assumptions!$B$8)</f>
        <v>16.8971698113208</v>
      </c>
      <c r="T11" s="7" t="str">
        <f aca="false">INDEX(ASP_per_vial!$A$6:$A$49,MATCH(S11,INDEX(ASP_per_vial!$E$6:$P$49,0,MATCH($A11,ASP_per_vial!$E$5:$P$5,0)),0))</f>
        <v>2023-Q2</v>
      </c>
      <c r="U11" s="38" t="n">
        <f aca="false">_xlfn.MAXIFS(INDEX(ASP_per_vial!$E$6:$P$49,0,MATCH($A11,ASP_per_vial!$E$5:$P$5,0)),ASP_per_vial!$C$6:$C$49,"&gt;="&amp;Assumptions!$B$8)</f>
        <v>21.838679245283</v>
      </c>
      <c r="V11" s="7" t="str">
        <f aca="false">INDEX(ASP_per_vial!$A$6:$A$49,MATCH(U11,INDEX(ASP_per_vial!$E$6:$P$49,0,MATCH($A11,ASP_per_vial!$E$5:$P$5,0)),0))</f>
        <v>2026-Q4</v>
      </c>
    </row>
    <row r="12" customFormat="false" ht="15" hidden="false" customHeight="false" outlineLevel="0" collapsed="false">
      <c r="A12" s="6" t="s">
        <v>208</v>
      </c>
      <c r="B12" s="13" t="n">
        <f aca="false">INDEX(ASP_per_vial!$E$6:$P$49,MATCH(B$4,ASP_per_vial!$A$6:$A$49,0),MATCH($A12,ASP_per_vial!$E$5:$P$5,0))</f>
        <v>17.6933962264151</v>
      </c>
      <c r="C12" s="13" t="n">
        <f aca="false">INDEX(ASP_per_vial!$E$6:$P$49,MATCH(C$4,ASP_per_vial!$A$6:$A$49,0),MATCH($A12,ASP_per_vial!$E$5:$P$5,0))</f>
        <v>31.0778301886792</v>
      </c>
      <c r="D12" s="13" t="n">
        <f aca="false">INDEX(ASP_per_vial!$E$6:$P$49,MATCH(D$4,ASP_per_vial!$A$6:$A$49,0),MATCH($A12,ASP_per_vial!$E$5:$P$5,0))</f>
        <v>34.9316037735849</v>
      </c>
      <c r="E12" s="13" t="n">
        <f aca="false">INDEX(ASP_per_vial!$E$6:$P$49,MATCH(E$4,ASP_per_vial!$A$6:$A$49,0),MATCH($A12,ASP_per_vial!$E$5:$P$5,0))</f>
        <v>41.6792452830189</v>
      </c>
      <c r="F12" s="13" t="n">
        <f aca="false">INDEX(ASP_per_vial!$E$6:$P$49,MATCH(F$4,ASP_per_vial!$A$6:$A$49,0),MATCH($A12,ASP_per_vial!$E$5:$P$5,0))</f>
        <v>42.0872641509434</v>
      </c>
      <c r="G12" s="13" t="n">
        <f aca="false">INDEX(ASP_per_vial!$E$6:$P$49,MATCH(G$4,ASP_per_vial!$A$6:$A$49,0),MATCH($A12,ASP_per_vial!$E$5:$P$5,0))</f>
        <v>43.5353773584906</v>
      </c>
      <c r="H12" s="13" t="n">
        <f aca="false">INDEX(ASP_per_vial!$E$6:$P$49,MATCH(H$4,ASP_per_vial!$A$6:$A$49,0),MATCH($A12,ASP_per_vial!$E$5:$P$5,0))</f>
        <v>50.2641509433962</v>
      </c>
      <c r="I12" s="13" t="n">
        <f aca="false">INDEX(ASP_per_vial!$E$6:$P$49,MATCH(I$4,ASP_per_vial!$A$6:$A$49,0),MATCH($A12,ASP_per_vial!$E$5:$P$5,0))</f>
        <v>54.5966981132075</v>
      </c>
      <c r="J12" s="38" t="n">
        <f aca="false">MAX(INDEX(ASP_per_vial!$E$6:$P$49,0,MATCH($A12,ASP_per_vial!$E$5:$P$5,0)))</f>
        <v>54.5966981132075</v>
      </c>
      <c r="K12" s="7" t="str">
        <f aca="false">INDEX(ASP_per_vial!$A$6:$A$49,MATCH(J12,INDEX(ASP_per_vial!$E$6:$P$49,0,MATCH($A12,ASP_per_vial!$E$5:$P$5,0)),0))</f>
        <v>2026-Q4</v>
      </c>
      <c r="L12" s="40" t="n">
        <f aca="false">I12/H12-1</f>
        <v>0.0861955705705706</v>
      </c>
      <c r="M12" s="40" t="n">
        <f aca="false">(I12/E12)^(1/(I$3-E$3))-1</f>
        <v>0.0941633846665313</v>
      </c>
      <c r="N12" s="40" t="n">
        <f aca="false">(I12/D12)^(1/(I$3-D$3))-1</f>
        <v>0.0934264382322367</v>
      </c>
      <c r="O12" s="40" t="n">
        <f aca="false">(I12/B12)^(1/(I$3-B$3))-1</f>
        <v>0.11050728434684</v>
      </c>
      <c r="P12" s="40" t="n">
        <f aca="false">C12/B12-1</f>
        <v>0.756464942681951</v>
      </c>
      <c r="Q12" s="40" t="n">
        <f aca="false">I12/G12-1</f>
        <v>0.254076602199469</v>
      </c>
      <c r="R12" s="39"/>
      <c r="S12" s="38" t="n">
        <f aca="false">_xlfn.MAXIFS(INDEX(ASP_per_vial!$E$6:$P$49,0,MATCH($A12,ASP_per_vial!$E$5:$P$5,0)),ASP_per_vial!$C$6:$C$49,"&lt;"&amp;Assumptions!$B$8)</f>
        <v>42.2429245283019</v>
      </c>
      <c r="T12" s="7" t="str">
        <f aca="false">INDEX(ASP_per_vial!$A$6:$A$49,MATCH(S12,INDEX(ASP_per_vial!$E$6:$P$49,0,MATCH($A12,ASP_per_vial!$E$5:$P$5,0)),0))</f>
        <v>2023-Q2</v>
      </c>
      <c r="U12" s="38" t="n">
        <f aca="false">_xlfn.MAXIFS(INDEX(ASP_per_vial!$E$6:$P$49,0,MATCH($A12,ASP_per_vial!$E$5:$P$5,0)),ASP_per_vial!$C$6:$C$49,"&gt;="&amp;Assumptions!$B$8)</f>
        <v>54.5966981132075</v>
      </c>
      <c r="V12" s="7" t="str">
        <f aca="false">INDEX(ASP_per_vial!$A$6:$A$49,MATCH(U12,INDEX(ASP_per_vial!$E$6:$P$49,0,MATCH($A12,ASP_per_vial!$E$5:$P$5,0)),0))</f>
        <v>2026-Q4</v>
      </c>
    </row>
    <row r="13" customFormat="false" ht="15" hidden="false" customHeight="false" outlineLevel="0" collapsed="false">
      <c r="A13" s="6" t="s">
        <v>210</v>
      </c>
      <c r="B13" s="13" t="n">
        <f aca="false">INDEX(ASP_per_vial!$E$6:$P$49,MATCH(B$4,ASP_per_vial!$A$6:$A$49,0),MATCH($A13,ASP_per_vial!$E$5:$P$5,0))</f>
        <v>21.2320754716981</v>
      </c>
      <c r="C13" s="13" t="n">
        <f aca="false">INDEX(ASP_per_vial!$E$6:$P$49,MATCH(C$4,ASP_per_vial!$A$6:$A$49,0),MATCH($A13,ASP_per_vial!$E$5:$P$5,0))</f>
        <v>37.2933962264151</v>
      </c>
      <c r="D13" s="13" t="n">
        <f aca="false">INDEX(ASP_per_vial!$E$6:$P$49,MATCH(D$4,ASP_per_vial!$A$6:$A$49,0),MATCH($A13,ASP_per_vial!$E$5:$P$5,0))</f>
        <v>41.9179245283019</v>
      </c>
      <c r="E13" s="13" t="n">
        <f aca="false">INDEX(ASP_per_vial!$E$6:$P$49,MATCH(E$4,ASP_per_vial!$A$6:$A$49,0),MATCH($A13,ASP_per_vial!$E$5:$P$5,0))</f>
        <v>50.0150943396226</v>
      </c>
      <c r="F13" s="13" t="n">
        <f aca="false">INDEX(ASP_per_vial!$E$6:$P$49,MATCH(F$4,ASP_per_vial!$A$6:$A$49,0),MATCH($A13,ASP_per_vial!$E$5:$P$5,0))</f>
        <v>50.5047169811321</v>
      </c>
      <c r="G13" s="13" t="n">
        <f aca="false">INDEX(ASP_per_vial!$E$6:$P$49,MATCH(G$4,ASP_per_vial!$A$6:$A$49,0),MATCH($A13,ASP_per_vial!$E$5:$P$5,0))</f>
        <v>52.2424528301887</v>
      </c>
      <c r="H13" s="13" t="n">
        <f aca="false">INDEX(ASP_per_vial!$E$6:$P$49,MATCH(H$4,ASP_per_vial!$A$6:$A$49,0),MATCH($A13,ASP_per_vial!$E$5:$P$5,0))</f>
        <v>60.3169811320755</v>
      </c>
      <c r="I13" s="13" t="n">
        <f aca="false">INDEX(ASP_per_vial!$E$6:$P$49,MATCH(I$4,ASP_per_vial!$A$6:$A$49,0),MATCH($A13,ASP_per_vial!$E$5:$P$5,0))</f>
        <v>65.5160377358491</v>
      </c>
      <c r="J13" s="38" t="n">
        <f aca="false">MAX(INDEX(ASP_per_vial!$E$6:$P$49,0,MATCH($A13,ASP_per_vial!$E$5:$P$5,0)))</f>
        <v>65.5160377358491</v>
      </c>
      <c r="K13" s="7" t="str">
        <f aca="false">INDEX(ASP_per_vial!$A$6:$A$49,MATCH(J13,INDEX(ASP_per_vial!$E$6:$P$49,0,MATCH($A13,ASP_per_vial!$E$5:$P$5,0)),0))</f>
        <v>2026-Q4</v>
      </c>
      <c r="L13" s="40" t="n">
        <f aca="false">I13/H13-1</f>
        <v>0.0861955705705704</v>
      </c>
      <c r="M13" s="40" t="n">
        <f aca="false">(I13/E13)^(1/(I$3-E$3))-1</f>
        <v>0.0941633846665313</v>
      </c>
      <c r="N13" s="40" t="n">
        <f aca="false">(I13/D13)^(1/(I$3-D$3))-1</f>
        <v>0.0934264382322367</v>
      </c>
      <c r="O13" s="40" t="n">
        <f aca="false">(I13/B13)^(1/(I$3-B$3))-1</f>
        <v>0.11050728434684</v>
      </c>
      <c r="P13" s="40" t="n">
        <f aca="false">C13/B13-1</f>
        <v>0.756464942681951</v>
      </c>
      <c r="Q13" s="40" t="n">
        <f aca="false">I13/G13-1</f>
        <v>0.254076602199469</v>
      </c>
      <c r="R13" s="39"/>
      <c r="S13" s="38" t="n">
        <f aca="false">_xlfn.MAXIFS(INDEX(ASP_per_vial!$E$6:$P$49,0,MATCH($A13,ASP_per_vial!$E$5:$P$5,0)),ASP_per_vial!$C$6:$C$49,"&lt;"&amp;Assumptions!$B$8)</f>
        <v>50.6915094339623</v>
      </c>
      <c r="T13" s="7" t="str">
        <f aca="false">INDEX(ASP_per_vial!$A$6:$A$49,MATCH(S13,INDEX(ASP_per_vial!$E$6:$P$49,0,MATCH($A13,ASP_per_vial!$E$5:$P$5,0)),0))</f>
        <v>2023-Q2</v>
      </c>
      <c r="U13" s="38" t="n">
        <f aca="false">_xlfn.MAXIFS(INDEX(ASP_per_vial!$E$6:$P$49,0,MATCH($A13,ASP_per_vial!$E$5:$P$5,0)),ASP_per_vial!$C$6:$C$49,"&gt;="&amp;Assumptions!$B$8)</f>
        <v>65.5160377358491</v>
      </c>
      <c r="V13" s="7" t="str">
        <f aca="false">INDEX(ASP_per_vial!$A$6:$A$49,MATCH(U13,INDEX(ASP_per_vial!$E$6:$P$49,0,MATCH($A13,ASP_per_vial!$E$5:$P$5,0)),0))</f>
        <v>2026-Q4</v>
      </c>
    </row>
    <row r="14" customFormat="false" ht="15" hidden="false" customHeight="false" outlineLevel="0" collapsed="false">
      <c r="A14" s="6" t="s">
        <v>212</v>
      </c>
      <c r="B14" s="13" t="n">
        <f aca="false">INDEX(ASP_per_vial!$E$6:$P$49,MATCH(B$4,ASP_per_vial!$A$6:$A$49,0),MATCH($A14,ASP_per_vial!$E$5:$P$5,0))</f>
        <v>35.3867924528302</v>
      </c>
      <c r="C14" s="13" t="n">
        <f aca="false">INDEX(ASP_per_vial!$E$6:$P$49,MATCH(C$4,ASP_per_vial!$A$6:$A$49,0),MATCH($A14,ASP_per_vial!$E$5:$P$5,0))</f>
        <v>62.1556603773585</v>
      </c>
      <c r="D14" s="13" t="n">
        <f aca="false">INDEX(ASP_per_vial!$E$6:$P$49,MATCH(D$4,ASP_per_vial!$A$6:$A$49,0),MATCH($A14,ASP_per_vial!$E$5:$P$5,0))</f>
        <v>69.8632075471698</v>
      </c>
      <c r="E14" s="13" t="n">
        <f aca="false">INDEX(ASP_per_vial!$E$6:$P$49,MATCH(E$4,ASP_per_vial!$A$6:$A$49,0),MATCH($A14,ASP_per_vial!$E$5:$P$5,0))</f>
        <v>83.3584905660377</v>
      </c>
      <c r="F14" s="13" t="n">
        <f aca="false">INDEX(ASP_per_vial!$E$6:$P$49,MATCH(F$4,ASP_per_vial!$A$6:$A$49,0),MATCH($A14,ASP_per_vial!$E$5:$P$5,0))</f>
        <v>84.1745283018868</v>
      </c>
      <c r="G14" s="13" t="n">
        <f aca="false">INDEX(ASP_per_vial!$E$6:$P$49,MATCH(G$4,ASP_per_vial!$A$6:$A$49,0),MATCH($A14,ASP_per_vial!$E$5:$P$5,0))</f>
        <v>87.0707547169811</v>
      </c>
      <c r="H14" s="13" t="n">
        <f aca="false">INDEX(ASP_per_vial!$E$6:$P$49,MATCH(H$4,ASP_per_vial!$A$6:$A$49,0),MATCH($A14,ASP_per_vial!$E$5:$P$5,0))</f>
        <v>100.528301886792</v>
      </c>
      <c r="I14" s="13" t="n">
        <f aca="false">INDEX(ASP_per_vial!$E$6:$P$49,MATCH(I$4,ASP_per_vial!$A$6:$A$49,0),MATCH($A14,ASP_per_vial!$E$5:$P$5,0))</f>
        <v>109.193396226415</v>
      </c>
      <c r="J14" s="38" t="n">
        <f aca="false">MAX(INDEX(ASP_per_vial!$E$6:$P$49,0,MATCH($A14,ASP_per_vial!$E$5:$P$5,0)))</f>
        <v>109.193396226415</v>
      </c>
      <c r="K14" s="7" t="str">
        <f aca="false">INDEX(ASP_per_vial!$A$6:$A$49,MATCH(J14,INDEX(ASP_per_vial!$E$6:$P$49,0,MATCH($A14,ASP_per_vial!$E$5:$P$5,0)),0))</f>
        <v>2026-Q4</v>
      </c>
      <c r="L14" s="40" t="n">
        <f aca="false">I14/H14-1</f>
        <v>0.0861955705705706</v>
      </c>
      <c r="M14" s="40" t="n">
        <f aca="false">(I14/E14)^(1/(I$3-E$3))-1</f>
        <v>0.0941633846665313</v>
      </c>
      <c r="N14" s="40" t="n">
        <f aca="false">(I14/D14)^(1/(I$3-D$3))-1</f>
        <v>0.0934264382322367</v>
      </c>
      <c r="O14" s="40" t="n">
        <f aca="false">(I14/B14)^(1/(I$3-B$3))-1</f>
        <v>0.11050728434684</v>
      </c>
      <c r="P14" s="40" t="n">
        <f aca="false">C14/B14-1</f>
        <v>0.756464942681951</v>
      </c>
      <c r="Q14" s="40" t="n">
        <f aca="false">I14/G14-1</f>
        <v>0.254076602199469</v>
      </c>
      <c r="R14" s="39"/>
      <c r="S14" s="38" t="n">
        <f aca="false">_xlfn.MAXIFS(INDEX(ASP_per_vial!$E$6:$P$49,0,MATCH($A14,ASP_per_vial!$E$5:$P$5,0)),ASP_per_vial!$C$6:$C$49,"&lt;"&amp;Assumptions!$B$8)</f>
        <v>84.4858490566038</v>
      </c>
      <c r="T14" s="7" t="str">
        <f aca="false">INDEX(ASP_per_vial!$A$6:$A$49,MATCH(S14,INDEX(ASP_per_vial!$E$6:$P$49,0,MATCH($A14,ASP_per_vial!$E$5:$P$5,0)),0))</f>
        <v>2023-Q2</v>
      </c>
      <c r="U14" s="38" t="n">
        <f aca="false">_xlfn.MAXIFS(INDEX(ASP_per_vial!$E$6:$P$49,0,MATCH($A14,ASP_per_vial!$E$5:$P$5,0)),ASP_per_vial!$C$6:$C$49,"&gt;="&amp;Assumptions!$B$8)</f>
        <v>109.193396226415</v>
      </c>
      <c r="V14" s="7" t="str">
        <f aca="false">INDEX(ASP_per_vial!$A$6:$A$49,MATCH(U14,INDEX(ASP_per_vial!$E$6:$P$49,0,MATCH($A14,ASP_per_vial!$E$5:$P$5,0)),0))</f>
        <v>2026-Q4</v>
      </c>
    </row>
    <row r="15" customFormat="false" ht="15" hidden="false" customHeight="false" outlineLevel="0" collapsed="false">
      <c r="A15" s="6" t="s">
        <v>214</v>
      </c>
      <c r="B15" s="13" t="n">
        <f aca="false">INDEX(ASP_per_vial!$E$6:$P$49,MATCH(B$4,ASP_per_vial!$A$6:$A$49,0),MATCH($A15,ASP_per_vial!$E$5:$P$5,0))</f>
        <v>70.7735849056604</v>
      </c>
      <c r="C15" s="13" t="n">
        <f aca="false">INDEX(ASP_per_vial!$E$6:$P$49,MATCH(C$4,ASP_per_vial!$A$6:$A$49,0),MATCH($A15,ASP_per_vial!$E$5:$P$5,0))</f>
        <v>124.311320754717</v>
      </c>
      <c r="D15" s="13" t="n">
        <f aca="false">INDEX(ASP_per_vial!$E$6:$P$49,MATCH(D$4,ASP_per_vial!$A$6:$A$49,0),MATCH($A15,ASP_per_vial!$E$5:$P$5,0))</f>
        <v>139.72641509434</v>
      </c>
      <c r="E15" s="13" t="n">
        <f aca="false">INDEX(ASP_per_vial!$E$6:$P$49,MATCH(E$4,ASP_per_vial!$A$6:$A$49,0),MATCH($A15,ASP_per_vial!$E$5:$P$5,0))</f>
        <v>166.716981132075</v>
      </c>
      <c r="F15" s="13" t="n">
        <f aca="false">INDEX(ASP_per_vial!$E$6:$P$49,MATCH(F$4,ASP_per_vial!$A$6:$A$49,0),MATCH($A15,ASP_per_vial!$E$5:$P$5,0))</f>
        <v>168.349056603774</v>
      </c>
      <c r="G15" s="13" t="n">
        <f aca="false">INDEX(ASP_per_vial!$E$6:$P$49,MATCH(G$4,ASP_per_vial!$A$6:$A$49,0),MATCH($A15,ASP_per_vial!$E$5:$P$5,0))</f>
        <v>174.141509433962</v>
      </c>
      <c r="H15" s="13" t="n">
        <f aca="false">INDEX(ASP_per_vial!$E$6:$P$49,MATCH(H$4,ASP_per_vial!$A$6:$A$49,0),MATCH($A15,ASP_per_vial!$E$5:$P$5,0))</f>
        <v>201.056603773585</v>
      </c>
      <c r="I15" s="13" t="n">
        <f aca="false">INDEX(ASP_per_vial!$E$6:$P$49,MATCH(I$4,ASP_per_vial!$A$6:$A$49,0),MATCH($A15,ASP_per_vial!$E$5:$P$5,0))</f>
        <v>218.38679245283</v>
      </c>
      <c r="J15" s="38" t="n">
        <f aca="false">MAX(INDEX(ASP_per_vial!$E$6:$P$49,0,MATCH($A15,ASP_per_vial!$E$5:$P$5,0)))</f>
        <v>218.38679245283</v>
      </c>
      <c r="K15" s="7" t="str">
        <f aca="false">INDEX(ASP_per_vial!$A$6:$A$49,MATCH(J15,INDEX(ASP_per_vial!$E$6:$P$49,0,MATCH($A15,ASP_per_vial!$E$5:$P$5,0)),0))</f>
        <v>2026-Q4</v>
      </c>
      <c r="L15" s="40" t="n">
        <f aca="false">I15/H15-1</f>
        <v>0.0861955705705706</v>
      </c>
      <c r="M15" s="40" t="n">
        <f aca="false">(I15/E15)^(1/(I$3-E$3))-1</f>
        <v>0.0941633846665313</v>
      </c>
      <c r="N15" s="40" t="n">
        <f aca="false">(I15/D15)^(1/(I$3-D$3))-1</f>
        <v>0.0934264382322367</v>
      </c>
      <c r="O15" s="40" t="n">
        <f aca="false">(I15/B15)^(1/(I$3-B$3))-1</f>
        <v>0.11050728434684</v>
      </c>
      <c r="P15" s="40" t="n">
        <f aca="false">C15/B15-1</f>
        <v>0.756464942681951</v>
      </c>
      <c r="Q15" s="40" t="n">
        <f aca="false">I15/G15-1</f>
        <v>0.254076602199469</v>
      </c>
      <c r="R15" s="39"/>
      <c r="S15" s="38" t="n">
        <f aca="false">_xlfn.MAXIFS(INDEX(ASP_per_vial!$E$6:$P$49,0,MATCH($A15,ASP_per_vial!$E$5:$P$5,0)),ASP_per_vial!$C$6:$C$49,"&lt;"&amp;Assumptions!$B$8)</f>
        <v>168.971698113208</v>
      </c>
      <c r="T15" s="7" t="str">
        <f aca="false">INDEX(ASP_per_vial!$A$6:$A$49,MATCH(S15,INDEX(ASP_per_vial!$E$6:$P$49,0,MATCH($A15,ASP_per_vial!$E$5:$P$5,0)),0))</f>
        <v>2023-Q2</v>
      </c>
      <c r="U15" s="38" t="n">
        <f aca="false">_xlfn.MAXIFS(INDEX(ASP_per_vial!$E$6:$P$49,0,MATCH($A15,ASP_per_vial!$E$5:$P$5,0)),ASP_per_vial!$C$6:$C$49,"&gt;="&amp;Assumptions!$B$8)</f>
        <v>218.38679245283</v>
      </c>
      <c r="V15" s="7" t="str">
        <f aca="false">INDEX(ASP_per_vial!$A$6:$A$49,MATCH(U15,INDEX(ASP_per_vial!$E$6:$P$49,0,MATCH($A15,ASP_per_vial!$E$5:$P$5,0)),0))</f>
        <v>2026-Q4</v>
      </c>
    </row>
    <row r="16" customFormat="false" ht="15" hidden="false" customHeight="false" outlineLevel="0" collapsed="false">
      <c r="A16" s="6" t="s">
        <v>215</v>
      </c>
      <c r="B16" s="13" t="n">
        <f aca="false">INDEX(ASP_per_vial!$E$6:$P$49,MATCH(B$4,ASP_per_vial!$A$6:$A$49,0),MATCH($A16,ASP_per_vial!$E$5:$P$5,0))</f>
        <v>4.06415094339623</v>
      </c>
      <c r="C16" s="13" t="n">
        <f aca="false">INDEX(ASP_per_vial!$E$6:$P$49,MATCH(C$4,ASP_per_vial!$A$6:$A$49,0),MATCH($A16,ASP_per_vial!$E$5:$P$5,0))</f>
        <v>6.60471698113208</v>
      </c>
      <c r="D16" s="13" t="n">
        <f aca="false">INDEX(ASP_per_vial!$E$6:$P$49,MATCH(D$4,ASP_per_vial!$A$6:$A$49,0),MATCH($A16,ASP_per_vial!$E$5:$P$5,0))</f>
        <v>5.30660377358491</v>
      </c>
      <c r="E16" s="13" t="n">
        <f aca="false">INDEX(ASP_per_vial!$E$6:$P$49,MATCH(E$4,ASP_per_vial!$A$6:$A$49,0),MATCH($A16,ASP_per_vial!$E$5:$P$5,0))</f>
        <v>6.79433962264151</v>
      </c>
      <c r="F16" s="13" t="n">
        <f aca="false">INDEX(ASP_per_vial!$E$6:$P$49,MATCH(F$4,ASP_per_vial!$A$6:$A$49,0),MATCH($A16,ASP_per_vial!$E$5:$P$5,0))</f>
        <v>6.05566037735849</v>
      </c>
      <c r="G16" s="13" t="n">
        <f aca="false">INDEX(ASP_per_vial!$E$6:$P$49,MATCH(G$4,ASP_per_vial!$A$6:$A$49,0),MATCH($A16,ASP_per_vial!$E$5:$P$5,0))</f>
        <v>5.05660377358491</v>
      </c>
      <c r="H16" s="13" t="n">
        <f aca="false">INDEX(ASP_per_vial!$E$6:$P$49,MATCH(H$4,ASP_per_vial!$A$6:$A$49,0),MATCH($A16,ASP_per_vial!$E$5:$P$5,0))</f>
        <v>4.49056603773585</v>
      </c>
      <c r="I16" s="13" t="n">
        <f aca="false">INDEX(ASP_per_vial!$E$6:$P$49,MATCH(I$4,ASP_per_vial!$A$6:$A$49,0),MATCH($A16,ASP_per_vial!$E$5:$P$5,0))</f>
        <v>4.64150943396226</v>
      </c>
      <c r="J16" s="38" t="n">
        <f aca="false">MAX(INDEX(ASP_per_vial!$E$6:$P$49,0,MATCH($A16,ASP_per_vial!$E$5:$P$5,0)))</f>
        <v>7.62641509433962</v>
      </c>
      <c r="K16" s="7" t="str">
        <f aca="false">INDEX(ASP_per_vial!$A$6:$A$49,MATCH(J16,INDEX(ASP_per_vial!$E$6:$P$49,0,MATCH($A16,ASP_per_vial!$E$5:$P$5,0)),0))</f>
        <v>2023-Q2</v>
      </c>
      <c r="L16" s="40" t="n">
        <f aca="false">I16/H16-1</f>
        <v>0.0336134453781514</v>
      </c>
      <c r="M16" s="40" t="n">
        <f aca="false">(I16/E16)^(1/(I$3-E$3))-1</f>
        <v>-0.119281075083238</v>
      </c>
      <c r="N16" s="40" t="n">
        <f aca="false">(I16/D16)^(1/(I$3-D$3))-1</f>
        <v>-0.0264270133337706</v>
      </c>
      <c r="O16" s="40" t="n">
        <f aca="false">(I16/B16)^(1/(I$3-B$3))-1</f>
        <v>0.012433382632653</v>
      </c>
      <c r="P16" s="40" t="n">
        <f aca="false">C16/B16-1</f>
        <v>0.625116063138348</v>
      </c>
      <c r="Q16" s="40" t="n">
        <f aca="false">I16/G16-1</f>
        <v>-0.0820895522388061</v>
      </c>
      <c r="R16" s="39" t="s">
        <v>409</v>
      </c>
      <c r="S16" s="38" t="n">
        <f aca="false">_xlfn.MAXIFS(INDEX(ASP_per_vial!$E$6:$P$49,0,MATCH($A16,ASP_per_vial!$E$5:$P$5,0)),ASP_per_vial!$C$6:$C$49,"&lt;"&amp;Assumptions!$B$8)</f>
        <v>7.62641509433962</v>
      </c>
      <c r="T16" s="7" t="str">
        <f aca="false">INDEX(ASP_per_vial!$A$6:$A$49,MATCH(S16,INDEX(ASP_per_vial!$E$6:$P$49,0,MATCH($A16,ASP_per_vial!$E$5:$P$5,0)),0))</f>
        <v>2023-Q2</v>
      </c>
      <c r="U16" s="38" t="n">
        <f aca="false">_xlfn.MAXIFS(INDEX(ASP_per_vial!$E$6:$P$49,0,MATCH($A16,ASP_per_vial!$E$5:$P$5,0)),ASP_per_vial!$C$6:$C$49,"&gt;="&amp;Assumptions!$B$8)</f>
        <v>5.20754716981132</v>
      </c>
      <c r="V16" s="7" t="str">
        <f aca="false">INDEX(ASP_per_vial!$A$6:$A$49,MATCH(U16,INDEX(ASP_per_vial!$E$6:$P$49,0,MATCH($A16,ASP_per_vial!$E$5:$P$5,0)),0))</f>
        <v>2024-Q3</v>
      </c>
    </row>
    <row r="17" customFormat="false" ht="15" hidden="false" customHeight="false" outlineLevel="0" collapsed="false">
      <c r="A17" s="6" t="s">
        <v>219</v>
      </c>
      <c r="B17" s="13" t="n">
        <f aca="false">INDEX(ASP_per_vial!$E$6:$P$49,MATCH(B$4,ASP_per_vial!$A$6:$A$49,0),MATCH($A17,ASP_per_vial!$E$5:$P$5,0))</f>
        <v>7.8622641509434</v>
      </c>
      <c r="C17" s="13" t="n">
        <f aca="false">INDEX(ASP_per_vial!$E$6:$P$49,MATCH(C$4,ASP_per_vial!$A$6:$A$49,0),MATCH($A17,ASP_per_vial!$E$5:$P$5,0))</f>
        <v>12.7452830188679</v>
      </c>
      <c r="D17" s="13" t="n">
        <f aca="false">INDEX(ASP_per_vial!$E$6:$P$49,MATCH(D$4,ASP_per_vial!$A$6:$A$49,0),MATCH($A17,ASP_per_vial!$E$5:$P$5,0))</f>
        <v>10.0716981132075</v>
      </c>
      <c r="E17" s="13" t="n">
        <f aca="false">INDEX(ASP_per_vial!$E$6:$P$49,MATCH(E$4,ASP_per_vial!$A$6:$A$49,0),MATCH($A17,ASP_per_vial!$E$5:$P$5,0))</f>
        <v>10.1481132075472</v>
      </c>
      <c r="F17" s="13" t="n">
        <f aca="false">INDEX(ASP_per_vial!$E$6:$P$49,MATCH(F$4,ASP_per_vial!$A$6:$A$49,0),MATCH($A17,ASP_per_vial!$E$5:$P$5,0))</f>
        <v>9.24811320754717</v>
      </c>
      <c r="G17" s="13" t="n">
        <f aca="false">INDEX(ASP_per_vial!$E$6:$P$49,MATCH(G$4,ASP_per_vial!$A$6:$A$49,0),MATCH($A17,ASP_per_vial!$E$5:$P$5,0))</f>
        <v>10.1132075471698</v>
      </c>
      <c r="H17" s="13" t="n">
        <f aca="false">INDEX(ASP_per_vial!$E$6:$P$49,MATCH(H$4,ASP_per_vial!$A$6:$A$49,0),MATCH($A17,ASP_per_vial!$E$5:$P$5,0))</f>
        <v>8.9811320754717</v>
      </c>
      <c r="I17" s="13" t="n">
        <f aca="false">INDEX(ASP_per_vial!$E$6:$P$49,MATCH(I$4,ASP_per_vial!$A$6:$A$49,0),MATCH($A17,ASP_per_vial!$E$5:$P$5,0))</f>
        <v>9.28301886792453</v>
      </c>
      <c r="J17" s="38" t="n">
        <f aca="false">MAX(INDEX(ASP_per_vial!$E$6:$P$49,0,MATCH($A17,ASP_per_vial!$E$5:$P$5,0)))</f>
        <v>12.7452830188679</v>
      </c>
      <c r="K17" s="7" t="str">
        <f aca="false">INDEX(ASP_per_vial!$A$6:$A$49,MATCH(J17,INDEX(ASP_per_vial!$E$6:$P$49,0,MATCH($A17,ASP_per_vial!$E$5:$P$5,0)),0))</f>
        <v>2018-Q3</v>
      </c>
      <c r="L17" s="40" t="n">
        <f aca="false">I17/H17-1</f>
        <v>0.0336134453781514</v>
      </c>
      <c r="M17" s="40" t="n">
        <f aca="false">(I17/E17)^(1/(I$3-E$3))-1</f>
        <v>-0.0292636108791943</v>
      </c>
      <c r="N17" s="40" t="n">
        <f aca="false">(I17/D17)^(1/(I$3-D$3))-1</f>
        <v>-0.016176240426333</v>
      </c>
      <c r="O17" s="40" t="n">
        <f aca="false">(I17/B17)^(1/(I$3-B$3))-1</f>
        <v>0.0155722996698862</v>
      </c>
      <c r="P17" s="40" t="n">
        <f aca="false">C17/B17-1</f>
        <v>0.62107031437485</v>
      </c>
      <c r="Q17" s="40" t="n">
        <f aca="false">I17/G17-1</f>
        <v>-0.0820895522388061</v>
      </c>
      <c r="R17" s="39" t="s">
        <v>409</v>
      </c>
      <c r="S17" s="38" t="n">
        <f aca="false">_xlfn.MAXIFS(INDEX(ASP_per_vial!$E$6:$P$49,0,MATCH($A17,ASP_per_vial!$E$5:$P$5,0)),ASP_per_vial!$C$6:$C$49,"&lt;"&amp;Assumptions!$B$8)</f>
        <v>12.7452830188679</v>
      </c>
      <c r="T17" s="7" t="str">
        <f aca="false">INDEX(ASP_per_vial!$A$6:$A$49,MATCH(S17,INDEX(ASP_per_vial!$E$6:$P$49,0,MATCH($A17,ASP_per_vial!$E$5:$P$5,0)),0))</f>
        <v>2018-Q3</v>
      </c>
      <c r="U17" s="38" t="n">
        <f aca="false">_xlfn.MAXIFS(INDEX(ASP_per_vial!$E$6:$P$49,0,MATCH($A17,ASP_per_vial!$E$5:$P$5,0)),ASP_per_vial!$C$6:$C$49,"&gt;="&amp;Assumptions!$B$8)</f>
        <v>10.4150943396226</v>
      </c>
      <c r="V17" s="7" t="str">
        <f aca="false">INDEX(ASP_per_vial!$A$6:$A$49,MATCH(U17,INDEX(ASP_per_vial!$E$6:$P$49,0,MATCH($A17,ASP_per_vial!$E$5:$P$5,0)),0))</f>
        <v>2024-Q3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15" hidden="false" customHeight="false" outlineLevel="0" collapsed="false">
      <c r="A20" s="4" t="s">
        <v>410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customFormat="false" ht="15" hidden="false" customHeight="false" outlineLevel="0" collapsed="false">
      <c r="A21" s="10" t="s">
        <v>224</v>
      </c>
      <c r="B21" s="10" t="s">
        <v>411</v>
      </c>
      <c r="C21" s="10" t="s">
        <v>412</v>
      </c>
      <c r="D21" s="10" t="s">
        <v>413</v>
      </c>
      <c r="E21" s="10" t="s">
        <v>414</v>
      </c>
      <c r="F21" s="10" t="s">
        <v>415</v>
      </c>
      <c r="G21" s="10" t="s">
        <v>416</v>
      </c>
      <c r="H21" s="10" t="s">
        <v>417</v>
      </c>
      <c r="I21" s="10" t="s">
        <v>418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customFormat="false" ht="15" hidden="false" customHeight="false" outlineLevel="0" collapsed="false">
      <c r="A22" s="8" t="str">
        <f aca="false">CMS_PL!A6</f>
        <v>2016-Q1</v>
      </c>
      <c r="B22" s="17" t="n">
        <f aca="false">IF(CMS_PL!H6="","",CMS_PL!H6)</f>
        <v>7.502</v>
      </c>
      <c r="C22" s="35"/>
      <c r="D22" s="17" t="n">
        <f aca="false">IF(CMS_PL!F6="","",CMS_PL!F6)</f>
        <v>4.105</v>
      </c>
      <c r="E22" s="35"/>
      <c r="F22" s="17" t="str">
        <f aca="false">IF(CMS_PL!G6="","",CMS_PL!G6)</f>
        <v/>
      </c>
      <c r="G22" s="35"/>
      <c r="H22" s="17" t="str">
        <f aca="false">IF(CMS_PL!K6="","",CMS_PL!K6)</f>
        <v/>
      </c>
      <c r="I22" s="3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customFormat="false" ht="15" hidden="false" customHeight="false" outlineLevel="0" collapsed="false">
      <c r="A23" s="8" t="str">
        <f aca="false">CMS_PL!A7</f>
        <v>2016-Q2</v>
      </c>
      <c r="B23" s="17" t="n">
        <f aca="false">IF(CMS_PL!H7="","",CMS_PL!H7)</f>
        <v>7.462</v>
      </c>
      <c r="C23" s="40" t="n">
        <f aca="false">IF(OR(B23="",B22=""),"",B23/B22-1)</f>
        <v>-0.00533191149026924</v>
      </c>
      <c r="D23" s="17" t="n">
        <f aca="false">IF(CMS_PL!F7="","",CMS_PL!F7)</f>
        <v>4.213</v>
      </c>
      <c r="E23" s="40" t="n">
        <f aca="false">IF(OR(D23="",D22=""),"",D23/D22-1)</f>
        <v>0.0263093788063336</v>
      </c>
      <c r="F23" s="17" t="str">
        <f aca="false">IF(CMS_PL!G7="","",CMS_PL!G7)</f>
        <v/>
      </c>
      <c r="G23" s="40" t="str">
        <f aca="false">IF(OR(F23="",F22=""),"",F23/F22-1)</f>
        <v/>
      </c>
      <c r="H23" s="17" t="str">
        <f aca="false">IF(CMS_PL!K7="","",CMS_PL!K7)</f>
        <v/>
      </c>
      <c r="I23" s="40" t="str">
        <f aca="false">IF(OR(H23="",H22=""),"",H23/H22-1)</f>
        <v/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15" hidden="false" customHeight="false" outlineLevel="0" collapsed="false">
      <c r="A24" s="8" t="str">
        <f aca="false">CMS_PL!A8</f>
        <v>2016-Q3</v>
      </c>
      <c r="B24" s="17" t="n">
        <f aca="false">IF(CMS_PL!H8="","",CMS_PL!H8)</f>
        <v>8.163</v>
      </c>
      <c r="C24" s="40" t="n">
        <f aca="false">IF(OR(B24="",B23=""),"",B24/B23-1)</f>
        <v>0.0939426427231307</v>
      </c>
      <c r="D24" s="17" t="n">
        <f aca="false">IF(CMS_PL!F8="","",CMS_PL!F8)</f>
        <v>4.964</v>
      </c>
      <c r="E24" s="40" t="n">
        <f aca="false">IF(OR(D24="",D23=""),"",D24/D23-1)</f>
        <v>0.178257773558035</v>
      </c>
      <c r="F24" s="17" t="str">
        <f aca="false">IF(CMS_PL!G8="","",CMS_PL!G8)</f>
        <v/>
      </c>
      <c r="G24" s="40" t="str">
        <f aca="false">IF(OR(F24="",F23=""),"",F24/F23-1)</f>
        <v/>
      </c>
      <c r="H24" s="17" t="str">
        <f aca="false">IF(CMS_PL!K8="","",CMS_PL!K8)</f>
        <v/>
      </c>
      <c r="I24" s="40" t="str">
        <f aca="false">IF(OR(H24="",H23=""),"",H24/H23-1)</f>
        <v/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customFormat="false" ht="15" hidden="false" customHeight="false" outlineLevel="0" collapsed="false">
      <c r="A25" s="8" t="str">
        <f aca="false">CMS_PL!A9</f>
        <v>2016-Q4</v>
      </c>
      <c r="B25" s="17" t="n">
        <f aca="false">IF(CMS_PL!H9="","",CMS_PL!H9)</f>
        <v>8.531</v>
      </c>
      <c r="C25" s="40" t="n">
        <f aca="false">IF(OR(B25="",B24=""),"",B25/B24-1)</f>
        <v>0.0450814651476172</v>
      </c>
      <c r="D25" s="17" t="n">
        <f aca="false">IF(CMS_PL!F9="","",CMS_PL!F9)</f>
        <v>5.126</v>
      </c>
      <c r="E25" s="40" t="n">
        <f aca="false">IF(OR(D25="",D24=""),"",D25/D24-1)</f>
        <v>0.0326349717969379</v>
      </c>
      <c r="F25" s="17" t="str">
        <f aca="false">IF(CMS_PL!G9="","",CMS_PL!G9)</f>
        <v/>
      </c>
      <c r="G25" s="40" t="str">
        <f aca="false">IF(OR(F25="",F24=""),"",F25/F24-1)</f>
        <v/>
      </c>
      <c r="H25" s="17" t="str">
        <f aca="false">IF(CMS_PL!K9="","",CMS_PL!K9)</f>
        <v/>
      </c>
      <c r="I25" s="40" t="str">
        <f aca="false">IF(OR(H25="",H24=""),"",H25/H24-1)</f>
        <v/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customFormat="false" ht="15" hidden="false" customHeight="false" outlineLevel="0" collapsed="false">
      <c r="A26" s="8" t="str">
        <f aca="false">CMS_PL!A10</f>
        <v>2017-Q1</v>
      </c>
      <c r="B26" s="17" t="n">
        <f aca="false">IF(CMS_PL!H10="","",CMS_PL!H10)</f>
        <v>9.118</v>
      </c>
      <c r="C26" s="40" t="n">
        <f aca="false">IF(OR(B26="",B25=""),"",B26/B25-1)</f>
        <v>0.0688078771539094</v>
      </c>
      <c r="D26" s="17" t="n">
        <f aca="false">IF(CMS_PL!F10="","",CMS_PL!F10)</f>
        <v>5.498</v>
      </c>
      <c r="E26" s="40" t="n">
        <f aca="false">IF(OR(D26="",D25=""),"",D26/D25-1)</f>
        <v>0.0725712056184158</v>
      </c>
      <c r="F26" s="17" t="str">
        <f aca="false">IF(CMS_PL!G10="","",CMS_PL!G10)</f>
        <v/>
      </c>
      <c r="G26" s="40" t="str">
        <f aca="false">IF(OR(F26="",F25=""),"",F26/F25-1)</f>
        <v/>
      </c>
      <c r="H26" s="17" t="str">
        <f aca="false">IF(CMS_PL!K10="","",CMS_PL!K10)</f>
        <v/>
      </c>
      <c r="I26" s="40" t="str">
        <f aca="false">IF(OR(H26="",H25=""),"",H26/H25-1)</f>
        <v/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customFormat="false" ht="15" hidden="false" customHeight="false" outlineLevel="0" collapsed="false">
      <c r="A27" s="8" t="str">
        <f aca="false">CMS_PL!A11</f>
        <v>2017-Q2</v>
      </c>
      <c r="B27" s="17" t="n">
        <f aca="false">IF(CMS_PL!H11="","",CMS_PL!H11)</f>
        <v>9.034</v>
      </c>
      <c r="C27" s="40" t="n">
        <f aca="false">IF(OR(B27="",B26=""),"",B27/B26-1)</f>
        <v>-0.00921254661109894</v>
      </c>
      <c r="D27" s="17" t="n">
        <f aca="false">IF(CMS_PL!F11="","",CMS_PL!F11)</f>
        <v>5.568</v>
      </c>
      <c r="E27" s="40" t="n">
        <f aca="false">IF(OR(D27="",D26=""),"",D27/D26-1)</f>
        <v>0.0127319025100034</v>
      </c>
      <c r="F27" s="17" t="str">
        <f aca="false">IF(CMS_PL!G11="","",CMS_PL!G11)</f>
        <v/>
      </c>
      <c r="G27" s="40" t="str">
        <f aca="false">IF(OR(F27="",F26=""),"",F27/F26-1)</f>
        <v/>
      </c>
      <c r="H27" s="17" t="str">
        <f aca="false">IF(CMS_PL!K11="","",CMS_PL!K11)</f>
        <v/>
      </c>
      <c r="I27" s="40" t="str">
        <f aca="false">IF(OR(H27="",H26=""),"",H27/H26-1)</f>
        <v/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customFormat="false" ht="15" hidden="false" customHeight="false" outlineLevel="0" collapsed="false">
      <c r="A28" s="8" t="str">
        <f aca="false">CMS_PL!A12</f>
        <v>2017-Q3</v>
      </c>
      <c r="B28" s="17" t="n">
        <f aca="false">IF(CMS_PL!H12="","",CMS_PL!H12)</f>
        <v>10.852</v>
      </c>
      <c r="C28" s="40" t="n">
        <f aca="false">IF(OR(B28="",B27=""),"",B28/B27-1)</f>
        <v>0.201239760903254</v>
      </c>
      <c r="D28" s="17" t="n">
        <f aca="false">IF(CMS_PL!F12="","",CMS_PL!F12)</f>
        <v>6.033</v>
      </c>
      <c r="E28" s="40" t="n">
        <f aca="false">IF(OR(D28="",D27=""),"",D28/D27-1)</f>
        <v>0.0835129310344829</v>
      </c>
      <c r="F28" s="17" t="str">
        <f aca="false">IF(CMS_PL!G12="","",CMS_PL!G12)</f>
        <v/>
      </c>
      <c r="G28" s="40" t="str">
        <f aca="false">IF(OR(F28="",F27=""),"",F28/F27-1)</f>
        <v/>
      </c>
      <c r="H28" s="17" t="str">
        <f aca="false">IF(CMS_PL!K12="","",CMS_PL!K12)</f>
        <v/>
      </c>
      <c r="I28" s="40" t="str">
        <f aca="false">IF(OR(H28="",H27=""),"",H28/H27-1)</f>
        <v/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customFormat="false" ht="15" hidden="false" customHeight="false" outlineLevel="0" collapsed="false">
      <c r="A29" s="8" t="str">
        <f aca="false">CMS_PL!A13</f>
        <v>2017-Q4</v>
      </c>
      <c r="B29" s="17" t="n">
        <f aca="false">IF(CMS_PL!H13="","",CMS_PL!H13)</f>
        <v>11.279</v>
      </c>
      <c r="C29" s="40" t="n">
        <f aca="false">IF(OR(B29="",B28=""),"",B29/B28-1)</f>
        <v>0.0393475856984886</v>
      </c>
      <c r="D29" s="17" t="n">
        <f aca="false">IF(CMS_PL!F13="","",CMS_PL!F13)</f>
        <v>6.093</v>
      </c>
      <c r="E29" s="40" t="n">
        <f aca="false">IF(OR(D29="",D28=""),"",D29/D28-1)</f>
        <v>0.0099453008453505</v>
      </c>
      <c r="F29" s="17" t="str">
        <f aca="false">IF(CMS_PL!G13="","",CMS_PL!G13)</f>
        <v/>
      </c>
      <c r="G29" s="40" t="str">
        <f aca="false">IF(OR(F29="",F28=""),"",F29/F28-1)</f>
        <v/>
      </c>
      <c r="H29" s="17" t="str">
        <f aca="false">IF(CMS_PL!K13="","",CMS_PL!K13)</f>
        <v/>
      </c>
      <c r="I29" s="40" t="str">
        <f aca="false">IF(OR(H29="",H28=""),"",H29/H28-1)</f>
        <v/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customFormat="false" ht="15" hidden="false" customHeight="false" outlineLevel="0" collapsed="false">
      <c r="A30" s="8" t="str">
        <f aca="false">CMS_PL!A14</f>
        <v>2018-Q1</v>
      </c>
      <c r="B30" s="17" t="n">
        <f aca="false">IF(CMS_PL!H14="","",CMS_PL!H14)</f>
        <v>11.931</v>
      </c>
      <c r="C30" s="40" t="n">
        <f aca="false">IF(OR(B30="",B29=""),"",B30/B29-1)</f>
        <v>0.0578065431332564</v>
      </c>
      <c r="D30" s="17" t="n">
        <f aca="false">IF(CMS_PL!F14="","",CMS_PL!F14)</f>
        <v>5.985</v>
      </c>
      <c r="E30" s="40" t="n">
        <f aca="false">IF(OR(D30="",D29=""),"",D30/D29-1)</f>
        <v>-0.0177252584933529</v>
      </c>
      <c r="F30" s="17" t="str">
        <f aca="false">IF(CMS_PL!G14="","",CMS_PL!G14)</f>
        <v/>
      </c>
      <c r="G30" s="40" t="str">
        <f aca="false">IF(OR(F30="",F29=""),"",F30/F29-1)</f>
        <v/>
      </c>
      <c r="H30" s="17" t="str">
        <f aca="false">IF(CMS_PL!K14="","",CMS_PL!K14)</f>
        <v/>
      </c>
      <c r="I30" s="40" t="str">
        <f aca="false">IF(OR(H30="",H29=""),"",H30/H29-1)</f>
        <v/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customFormat="false" ht="15" hidden="false" customHeight="false" outlineLevel="0" collapsed="false">
      <c r="A31" s="8" t="str">
        <f aca="false">CMS_PL!A15</f>
        <v>2018-Q2</v>
      </c>
      <c r="B31" s="17" t="n">
        <f aca="false">IF(CMS_PL!H15="","",CMS_PL!H15)</f>
        <v>12.05</v>
      </c>
      <c r="C31" s="40" t="n">
        <f aca="false">IF(OR(B31="",B30=""),"",B31/B30-1)</f>
        <v>0.00997401726594593</v>
      </c>
      <c r="D31" s="17" t="n">
        <f aca="false">IF(CMS_PL!F15="","",CMS_PL!F15)</f>
        <v>6.672</v>
      </c>
      <c r="E31" s="40" t="n">
        <f aca="false">IF(OR(D31="",D30=""),"",D31/D30-1)</f>
        <v>0.114786967418546</v>
      </c>
      <c r="F31" s="17" t="str">
        <f aca="false">IF(CMS_PL!G15="","",CMS_PL!G15)</f>
        <v/>
      </c>
      <c r="G31" s="40" t="str">
        <f aca="false">IF(OR(F31="",F30=""),"",F31/F30-1)</f>
        <v/>
      </c>
      <c r="H31" s="17" t="str">
        <f aca="false">IF(CMS_PL!K15="","",CMS_PL!K15)</f>
        <v/>
      </c>
      <c r="I31" s="40" t="str">
        <f aca="false">IF(OR(H31="",H30=""),"",H31/H30-1)</f>
        <v/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15" hidden="false" customHeight="false" outlineLevel="0" collapsed="false">
      <c r="A32" s="8" t="str">
        <f aca="false">CMS_PL!A16</f>
        <v>2018-Q3</v>
      </c>
      <c r="B32" s="17" t="n">
        <f aca="false">IF(CMS_PL!H16="","",CMS_PL!H16)</f>
        <v>13.177</v>
      </c>
      <c r="C32" s="40" t="n">
        <f aca="false">IF(OR(B32="",B31=""),"",B32/B31-1)</f>
        <v>0.0935269709543567</v>
      </c>
      <c r="D32" s="17" t="n">
        <f aca="false">IF(CMS_PL!F16="","",CMS_PL!F16)</f>
        <v>6.965</v>
      </c>
      <c r="E32" s="40" t="n">
        <f aca="false">IF(OR(D32="",D31=""),"",D32/D31-1)</f>
        <v>0.0439148681055157</v>
      </c>
      <c r="F32" s="17" t="str">
        <f aca="false">IF(CMS_PL!G16="","",CMS_PL!G16)</f>
        <v/>
      </c>
      <c r="G32" s="40" t="str">
        <f aca="false">IF(OR(F32="",F31=""),"",F32/F31-1)</f>
        <v/>
      </c>
      <c r="H32" s="17" t="str">
        <f aca="false">IF(CMS_PL!K16="","",CMS_PL!K16)</f>
        <v/>
      </c>
      <c r="I32" s="40" t="str">
        <f aca="false">IF(OR(H32="",H31=""),"",H32/H31-1)</f>
        <v/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customFormat="false" ht="15" hidden="false" customHeight="false" outlineLevel="0" collapsed="false">
      <c r="A33" s="8" t="str">
        <f aca="false">CMS_PL!A17</f>
        <v>2018-Q4</v>
      </c>
      <c r="B33" s="17" t="n">
        <f aca="false">IF(CMS_PL!H17="","",CMS_PL!H17)</f>
        <v>13.051</v>
      </c>
      <c r="C33" s="40" t="n">
        <f aca="false">IF(OR(B33="",B32=""),"",B33/B32-1)</f>
        <v>-0.00956211580784694</v>
      </c>
      <c r="D33" s="17" t="n">
        <f aca="false">IF(CMS_PL!F17="","",CMS_PL!F17)</f>
        <v>6.942</v>
      </c>
      <c r="E33" s="40" t="n">
        <f aca="false">IF(OR(D33="",D32=""),"",D33/D32-1)</f>
        <v>-0.00330222541277814</v>
      </c>
      <c r="F33" s="17" t="str">
        <f aca="false">IF(CMS_PL!G17="","",CMS_PL!G17)</f>
        <v/>
      </c>
      <c r="G33" s="40" t="str">
        <f aca="false">IF(OR(F33="",F32=""),"",F33/F32-1)</f>
        <v/>
      </c>
      <c r="H33" s="17" t="str">
        <f aca="false">IF(CMS_PL!K17="","",CMS_PL!K17)</f>
        <v/>
      </c>
      <c r="I33" s="40" t="str">
        <f aca="false">IF(OR(H33="",H32=""),"",H33/H32-1)</f>
        <v/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customFormat="false" ht="15" hidden="false" customHeight="false" outlineLevel="0" collapsed="false">
      <c r="A34" s="8" t="str">
        <f aca="false">CMS_PL!A18</f>
        <v>2019-Q1</v>
      </c>
      <c r="B34" s="17" t="n">
        <f aca="false">IF(CMS_PL!H18="","",CMS_PL!H18)</f>
        <v>12.993</v>
      </c>
      <c r="C34" s="40" t="n">
        <f aca="false">IF(OR(B34="",B33=""),"",B34/B33-1)</f>
        <v>-0.00444410390008432</v>
      </c>
      <c r="D34" s="17" t="n">
        <f aca="false">IF(CMS_PL!F18="","",CMS_PL!F18)</f>
        <v>6.928</v>
      </c>
      <c r="E34" s="40" t="n">
        <f aca="false">IF(OR(D34="",D33=""),"",D34/D33-1)</f>
        <v>-0.00201670988187841</v>
      </c>
      <c r="F34" s="17" t="str">
        <f aca="false">IF(CMS_PL!G18="","",CMS_PL!G18)</f>
        <v/>
      </c>
      <c r="G34" s="40" t="str">
        <f aca="false">IF(OR(F34="",F33=""),"",F34/F33-1)</f>
        <v/>
      </c>
      <c r="H34" s="17" t="str">
        <f aca="false">IF(CMS_PL!K18="","",CMS_PL!K18)</f>
        <v/>
      </c>
      <c r="I34" s="40" t="str">
        <f aca="false">IF(OR(H34="",H33=""),"",H34/H33-1)</f>
        <v/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customFormat="false" ht="15" hidden="false" customHeight="false" outlineLevel="0" collapsed="false">
      <c r="A35" s="8" t="str">
        <f aca="false">CMS_PL!A19</f>
        <v>2019-Q2</v>
      </c>
      <c r="B35" s="17" t="n">
        <f aca="false">IF(CMS_PL!H19="","",CMS_PL!H19)</f>
        <v>13.043</v>
      </c>
      <c r="C35" s="40" t="n">
        <f aca="false">IF(OR(B35="",B34=""),"",B35/B34-1)</f>
        <v>0.00384822596782874</v>
      </c>
      <c r="D35" s="17" t="n">
        <f aca="false">IF(CMS_PL!F19="","",CMS_PL!F19)</f>
        <v>6.361</v>
      </c>
      <c r="E35" s="40" t="n">
        <f aca="false">IF(OR(D35="",D34=""),"",D35/D34-1)</f>
        <v>-0.0818418013856813</v>
      </c>
      <c r="F35" s="17" t="str">
        <f aca="false">IF(CMS_PL!G19="","",CMS_PL!G19)</f>
        <v/>
      </c>
      <c r="G35" s="40" t="str">
        <f aca="false">IF(OR(F35="",F34=""),"",F35/F34-1)</f>
        <v/>
      </c>
      <c r="H35" s="17" t="str">
        <f aca="false">IF(CMS_PL!K19="","",CMS_PL!K19)</f>
        <v/>
      </c>
      <c r="I35" s="40" t="str">
        <f aca="false">IF(OR(H35="",H34=""),"",H35/H34-1)</f>
        <v/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customFormat="false" ht="15" hidden="false" customHeight="false" outlineLevel="0" collapsed="false">
      <c r="A36" s="8" t="str">
        <f aca="false">CMS_PL!A20</f>
        <v>2019-Q3</v>
      </c>
      <c r="B36" s="17" t="n">
        <f aca="false">IF(CMS_PL!H20="","",CMS_PL!H20)</f>
        <v>13.04</v>
      </c>
      <c r="C36" s="40" t="n">
        <f aca="false">IF(OR(B36="",B35=""),"",B36/B35-1)</f>
        <v>-0.000230008433642626</v>
      </c>
      <c r="D36" s="17" t="n">
        <f aca="false">IF(CMS_PL!F20="","",CMS_PL!F20)</f>
        <v>6.169</v>
      </c>
      <c r="E36" s="40" t="n">
        <f aca="false">IF(OR(D36="",D35=""),"",D36/D35-1)</f>
        <v>-0.0301839333438139</v>
      </c>
      <c r="F36" s="17" t="str">
        <f aca="false">IF(CMS_PL!G20="","",CMS_PL!G20)</f>
        <v/>
      </c>
      <c r="G36" s="40" t="str">
        <f aca="false">IF(OR(F36="",F35=""),"",F36/F35-1)</f>
        <v/>
      </c>
      <c r="H36" s="17" t="str">
        <f aca="false">IF(CMS_PL!K20="","",CMS_PL!K20)</f>
        <v/>
      </c>
      <c r="I36" s="40" t="str">
        <f aca="false">IF(OR(H36="",H35=""),"",H36/H35-1)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customFormat="false" ht="15" hidden="false" customHeight="false" outlineLevel="0" collapsed="false">
      <c r="A37" s="8" t="str">
        <f aca="false">CMS_PL!A21</f>
        <v>2019-Q4</v>
      </c>
      <c r="B37" s="17" t="n">
        <f aca="false">IF(CMS_PL!H21="","",CMS_PL!H21)</f>
        <v>12.901</v>
      </c>
      <c r="C37" s="40" t="n">
        <f aca="false">IF(OR(B37="",B36=""),"",B37/B36-1)</f>
        <v>-0.010659509202454</v>
      </c>
      <c r="D37" s="17" t="n">
        <f aca="false">IF(CMS_PL!F21="","",CMS_PL!F21)</f>
        <v>6.119</v>
      </c>
      <c r="E37" s="40" t="n">
        <f aca="false">IF(OR(D37="",D36=""),"",D37/D36-1)</f>
        <v>-0.00810504133571077</v>
      </c>
      <c r="F37" s="17" t="str">
        <f aca="false">IF(CMS_PL!G21="","",CMS_PL!G21)</f>
        <v/>
      </c>
      <c r="G37" s="40" t="str">
        <f aca="false">IF(OR(F37="",F36=""),"",F37/F36-1)</f>
        <v/>
      </c>
      <c r="H37" s="17" t="str">
        <f aca="false">IF(CMS_PL!K21="","",CMS_PL!K21)</f>
        <v/>
      </c>
      <c r="I37" s="40" t="str">
        <f aca="false">IF(OR(H37="",H36=""),"",H37/H36-1)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customFormat="false" ht="15" hidden="false" customHeight="false" outlineLevel="0" collapsed="false">
      <c r="A38" s="8" t="str">
        <f aca="false">CMS_PL!A22</f>
        <v>2020-Q1</v>
      </c>
      <c r="B38" s="17" t="n">
        <f aca="false">IF(CMS_PL!H22="","",CMS_PL!H22)</f>
        <v>13.05</v>
      </c>
      <c r="C38" s="40" t="n">
        <f aca="false">IF(OR(B38="",B37=""),"",B38/B37-1)</f>
        <v>0.0115494922874198</v>
      </c>
      <c r="D38" s="17" t="n">
        <f aca="false">IF(CMS_PL!F22="","",CMS_PL!F22)</f>
        <v>6.317</v>
      </c>
      <c r="E38" s="40" t="n">
        <f aca="false">IF(OR(D38="",D37=""),"",D38/D37-1)</f>
        <v>0.0323582284687041</v>
      </c>
      <c r="F38" s="17" t="str">
        <f aca="false">IF(CMS_PL!G22="","",CMS_PL!G22)</f>
        <v/>
      </c>
      <c r="G38" s="40" t="str">
        <f aca="false">IF(OR(F38="",F37=""),"",F38/F37-1)</f>
        <v/>
      </c>
      <c r="H38" s="17" t="str">
        <f aca="false">IF(CMS_PL!K22="","",CMS_PL!K22)</f>
        <v/>
      </c>
      <c r="I38" s="40" t="str">
        <f aca="false">IF(OR(H38="",H37=""),"",H38/H37-1)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customFormat="false" ht="15" hidden="false" customHeight="false" outlineLevel="0" collapsed="false">
      <c r="A39" s="8" t="str">
        <f aca="false">CMS_PL!A23</f>
        <v>2020-Q2</v>
      </c>
      <c r="B39" s="17" t="n">
        <f aca="false">IF(CMS_PL!H23="","",CMS_PL!H23)</f>
        <v>12.896</v>
      </c>
      <c r="C39" s="40" t="n">
        <f aca="false">IF(OR(B39="",B38=""),"",B39/B38-1)</f>
        <v>-0.0118007662835249</v>
      </c>
      <c r="D39" s="17" t="n">
        <f aca="false">IF(CMS_PL!F23="","",CMS_PL!F23)</f>
        <v>6.392</v>
      </c>
      <c r="E39" s="40" t="n">
        <f aca="false">IF(OR(D39="",D38=""),"",D39/D38-1)</f>
        <v>0.0118727243944912</v>
      </c>
      <c r="F39" s="17" t="str">
        <f aca="false">IF(CMS_PL!G23="","",CMS_PL!G23)</f>
        <v/>
      </c>
      <c r="G39" s="40" t="str">
        <f aca="false">IF(OR(F39="",F38=""),"",F39/F38-1)</f>
        <v/>
      </c>
      <c r="H39" s="17" t="str">
        <f aca="false">IF(CMS_PL!K23="","",CMS_PL!K23)</f>
        <v/>
      </c>
      <c r="I39" s="40" t="str">
        <f aca="false">IF(OR(H39="",H38=""),"",H39/H38-1)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customFormat="false" ht="15" hidden="false" customHeight="false" outlineLevel="0" collapsed="false">
      <c r="A40" s="8" t="str">
        <f aca="false">CMS_PL!A24</f>
        <v>2020-Q3</v>
      </c>
      <c r="B40" s="17" t="n">
        <f aca="false">IF(CMS_PL!H24="","",CMS_PL!H24)</f>
        <v>14.142</v>
      </c>
      <c r="C40" s="40" t="n">
        <f aca="false">IF(OR(B40="",B39=""),"",B40/B39-1)</f>
        <v>0.0966191066997517</v>
      </c>
      <c r="D40" s="17" t="n">
        <f aca="false">IF(CMS_PL!F24="","",CMS_PL!F24)</f>
        <v>6.716</v>
      </c>
      <c r="E40" s="40" t="n">
        <f aca="false">IF(OR(D40="",D39=""),"",D40/D39-1)</f>
        <v>0.0506883604505632</v>
      </c>
      <c r="F40" s="17" t="str">
        <f aca="false">IF(CMS_PL!G24="","",CMS_PL!G24)</f>
        <v/>
      </c>
      <c r="G40" s="40" t="str">
        <f aca="false">IF(OR(F40="",F39=""),"",F40/F39-1)</f>
        <v/>
      </c>
      <c r="H40" s="17" t="str">
        <f aca="false">IF(CMS_PL!K24="","",CMS_PL!K24)</f>
        <v/>
      </c>
      <c r="I40" s="40" t="str">
        <f aca="false">IF(OR(H40="",H39=""),"",H40/H39-1)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customFormat="false" ht="15" hidden="false" customHeight="false" outlineLevel="0" collapsed="false">
      <c r="A41" s="8" t="str">
        <f aca="false">CMS_PL!A25</f>
        <v>2020-Q4</v>
      </c>
      <c r="B41" s="17" t="n">
        <f aca="false">IF(CMS_PL!H25="","",CMS_PL!H25)</f>
        <v>14.151</v>
      </c>
      <c r="C41" s="40" t="n">
        <f aca="false">IF(OR(B41="",B40=""),"",B41/B40-1)</f>
        <v>0.000636402206194431</v>
      </c>
      <c r="D41" s="17" t="n">
        <f aca="false">IF(CMS_PL!F25="","",CMS_PL!F25)</f>
        <v>5.636</v>
      </c>
      <c r="E41" s="40" t="n">
        <f aca="false">IF(OR(D41="",D40=""),"",D41/D40-1)</f>
        <v>-0.160810005955926</v>
      </c>
      <c r="F41" s="17" t="str">
        <f aca="false">IF(CMS_PL!G25="","",CMS_PL!G25)</f>
        <v/>
      </c>
      <c r="G41" s="40" t="str">
        <f aca="false">IF(OR(F41="",F40=""),"",F41/F40-1)</f>
        <v/>
      </c>
      <c r="H41" s="17" t="str">
        <f aca="false">IF(CMS_PL!K25="","",CMS_PL!K25)</f>
        <v/>
      </c>
      <c r="I41" s="40" t="str">
        <f aca="false">IF(OR(H41="",H40=""),"",H41/H40-1)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customFormat="false" ht="15" hidden="false" customHeight="false" outlineLevel="0" collapsed="false">
      <c r="A42" s="8" t="str">
        <f aca="false">CMS_PL!A26</f>
        <v>2021-Q1</v>
      </c>
      <c r="B42" s="17" t="n">
        <f aca="false">IF(CMS_PL!H26="","",CMS_PL!H26)</f>
        <v>14.154</v>
      </c>
      <c r="C42" s="40" t="n">
        <f aca="false">IF(OR(B42="",B41=""),"",B42/B41-1)</f>
        <v>0.000211999152003317</v>
      </c>
      <c r="D42" s="17" t="n">
        <f aca="false">IF(CMS_PL!F26="","",CMS_PL!F26)</f>
        <v>5.491</v>
      </c>
      <c r="E42" s="40" t="n">
        <f aca="false">IF(OR(D42="",D41=""),"",D42/D41-1)</f>
        <v>-0.0257274662881477</v>
      </c>
      <c r="F42" s="17" t="str">
        <f aca="false">IF(CMS_PL!G26="","",CMS_PL!G26)</f>
        <v/>
      </c>
      <c r="G42" s="40" t="str">
        <f aca="false">IF(OR(F42="",F41=""),"",F42/F41-1)</f>
        <v/>
      </c>
      <c r="H42" s="17" t="str">
        <f aca="false">IF(CMS_PL!K26="","",CMS_PL!K26)</f>
        <v/>
      </c>
      <c r="I42" s="40" t="str">
        <f aca="false">IF(OR(H42="",H41=""),"",H42/H41-1)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customFormat="false" ht="15" hidden="false" customHeight="false" outlineLevel="0" collapsed="false">
      <c r="A43" s="8" t="str">
        <f aca="false">CMS_PL!A27</f>
        <v>2021-Q2</v>
      </c>
      <c r="B43" s="17" t="n">
        <f aca="false">IF(CMS_PL!H27="","",CMS_PL!H27)</f>
        <v>14.207</v>
      </c>
      <c r="C43" s="40" t="n">
        <f aca="false">IF(OR(B43="",B42=""),"",B43/B42-1)</f>
        <v>0.00374452451603791</v>
      </c>
      <c r="D43" s="17" t="n">
        <f aca="false">IF(CMS_PL!F27="","",CMS_PL!F27)</f>
        <v>5.793</v>
      </c>
      <c r="E43" s="40" t="n">
        <f aca="false">IF(OR(D43="",D42=""),"",D43/D42-1)</f>
        <v>0.0549990894190495</v>
      </c>
      <c r="F43" s="17" t="str">
        <f aca="false">IF(CMS_PL!G27="","",CMS_PL!G27)</f>
        <v/>
      </c>
      <c r="G43" s="40" t="str">
        <f aca="false">IF(OR(F43="",F42=""),"",F43/F42-1)</f>
        <v/>
      </c>
      <c r="H43" s="17" t="str">
        <f aca="false">IF(CMS_PL!K27="","",CMS_PL!K27)</f>
        <v/>
      </c>
      <c r="I43" s="40" t="str">
        <f aca="false">IF(OR(H43="",H42=""),"",H43/H42-1)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customFormat="false" ht="15" hidden="false" customHeight="false" outlineLevel="0" collapsed="false">
      <c r="A44" s="8" t="str">
        <f aca="false">CMS_PL!A28</f>
        <v>2021-Q3</v>
      </c>
      <c r="B44" s="17" t="n">
        <f aca="false">IF(CMS_PL!H28="","",CMS_PL!H28)</f>
        <v>14.774</v>
      </c>
      <c r="C44" s="40" t="n">
        <f aca="false">IF(OR(B44="",B43=""),"",B44/B43-1)</f>
        <v>0.0399099035686632</v>
      </c>
      <c r="D44" s="17" t="n">
        <f aca="false">IF(CMS_PL!F28="","",CMS_PL!F28)</f>
        <v>5.451</v>
      </c>
      <c r="E44" s="40" t="n">
        <f aca="false">IF(OR(D44="",D43=""),"",D44/D43-1)</f>
        <v>-0.0590367685137235</v>
      </c>
      <c r="F44" s="17" t="str">
        <f aca="false">IF(CMS_PL!G28="","",CMS_PL!G28)</f>
        <v/>
      </c>
      <c r="G44" s="40" t="str">
        <f aca="false">IF(OR(F44="",F43=""),"",F44/F43-1)</f>
        <v/>
      </c>
      <c r="H44" s="17" t="str">
        <f aca="false">IF(CMS_PL!K28="","",CMS_PL!K28)</f>
        <v/>
      </c>
      <c r="I44" s="40" t="str">
        <f aca="false">IF(OR(H44="",H43=""),"",H44/H43-1)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customFormat="false" ht="15" hidden="false" customHeight="false" outlineLevel="0" collapsed="false">
      <c r="A45" s="8" t="str">
        <f aca="false">CMS_PL!A29</f>
        <v>2021-Q4</v>
      </c>
      <c r="B45" s="17" t="n">
        <f aca="false">IF(CMS_PL!H29="","",CMS_PL!H29)</f>
        <v>14.811</v>
      </c>
      <c r="C45" s="40" t="n">
        <f aca="false">IF(OR(B45="",B44=""),"",B45/B44-1)</f>
        <v>0.00250439962095572</v>
      </c>
      <c r="D45" s="17" t="n">
        <f aca="false">IF(CMS_PL!F29="","",CMS_PL!F29)</f>
        <v>5.565</v>
      </c>
      <c r="E45" s="40" t="n">
        <f aca="false">IF(OR(D45="",D44=""),"",D45/D44-1)</f>
        <v>0.0209135938359935</v>
      </c>
      <c r="F45" s="17" t="str">
        <f aca="false">IF(CMS_PL!G29="","",CMS_PL!G29)</f>
        <v/>
      </c>
      <c r="G45" s="40" t="str">
        <f aca="false">IF(OR(F45="",F44=""),"",F45/F44-1)</f>
        <v/>
      </c>
      <c r="H45" s="17" t="str">
        <f aca="false">IF(CMS_PL!K29="","",CMS_PL!K29)</f>
        <v/>
      </c>
      <c r="I45" s="40" t="str">
        <f aca="false">IF(OR(H45="",H44=""),"",H45/H44-1)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customFormat="false" ht="15" hidden="false" customHeight="false" outlineLevel="0" collapsed="false">
      <c r="A46" s="8" t="str">
        <f aca="false">CMS_PL!A30</f>
        <v>2022-Q1</v>
      </c>
      <c r="B46" s="17" t="n">
        <f aca="false">IF(CMS_PL!H30="","",CMS_PL!H30)</f>
        <v>14.761</v>
      </c>
      <c r="C46" s="40" t="n">
        <f aca="false">IF(OR(B46="",B45=""),"",B46/B45-1)</f>
        <v>-0.00337586928634126</v>
      </c>
      <c r="D46" s="17" t="n">
        <f aca="false">IF(CMS_PL!F30="","",CMS_PL!F30)</f>
        <v>5.89</v>
      </c>
      <c r="E46" s="40" t="n">
        <f aca="false">IF(OR(D46="",D45=""),"",D46/D45-1)</f>
        <v>0.0584007187780771</v>
      </c>
      <c r="F46" s="17" t="str">
        <f aca="false">IF(CMS_PL!G30="","",CMS_PL!G30)</f>
        <v/>
      </c>
      <c r="G46" s="40" t="str">
        <f aca="false">IF(OR(F46="",F45=""),"",F46/F45-1)</f>
        <v/>
      </c>
      <c r="H46" s="17" t="str">
        <f aca="false">IF(CMS_PL!K30="","",CMS_PL!K30)</f>
        <v/>
      </c>
      <c r="I46" s="40" t="str">
        <f aca="false">IF(OR(H46="",H45=""),"",H46/H45-1)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customFormat="false" ht="15" hidden="false" customHeight="false" outlineLevel="0" collapsed="false">
      <c r="A47" s="8" t="str">
        <f aca="false">CMS_PL!A31</f>
        <v>2022-Q2</v>
      </c>
      <c r="B47" s="17" t="n">
        <f aca="false">IF(CMS_PL!H31="","",CMS_PL!H31)</f>
        <v>14.743</v>
      </c>
      <c r="C47" s="40" t="n">
        <f aca="false">IF(OR(B47="",B46=""),"",B47/B46-1)</f>
        <v>-0.00121942957794186</v>
      </c>
      <c r="D47" s="17" t="n">
        <f aca="false">IF(CMS_PL!F31="","",CMS_PL!F31)</f>
        <v>6.12</v>
      </c>
      <c r="E47" s="40" t="n">
        <f aca="false">IF(OR(D47="",D46=""),"",D47/D46-1)</f>
        <v>0.0390492359932089</v>
      </c>
      <c r="F47" s="17" t="str">
        <f aca="false">IF(CMS_PL!G31="","",CMS_PL!G31)</f>
        <v/>
      </c>
      <c r="G47" s="40" t="str">
        <f aca="false">IF(OR(F47="",F46=""),"",F47/F46-1)</f>
        <v/>
      </c>
      <c r="H47" s="17" t="str">
        <f aca="false">IF(CMS_PL!K31="","",CMS_PL!K31)</f>
        <v/>
      </c>
      <c r="I47" s="40" t="str">
        <f aca="false">IF(OR(H47="",H46=""),"",H47/H46-1)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customFormat="false" ht="15" hidden="false" customHeight="false" outlineLevel="0" collapsed="false">
      <c r="A48" s="8" t="str">
        <f aca="false">CMS_PL!A32</f>
        <v>2022-Q3</v>
      </c>
      <c r="B48" s="17" t="n">
        <f aca="false">IF(CMS_PL!H32="","",CMS_PL!H32)</f>
        <v>17.574</v>
      </c>
      <c r="C48" s="40" t="n">
        <f aca="false">IF(OR(B48="",B47=""),"",B48/B47-1)</f>
        <v>0.192023333107237</v>
      </c>
      <c r="D48" s="17" t="n">
        <f aca="false">IF(CMS_PL!F32="","",CMS_PL!F32)</f>
        <v>5.524</v>
      </c>
      <c r="E48" s="40" t="n">
        <f aca="false">IF(OR(D48="",D47=""),"",D48/D47-1)</f>
        <v>-0.0973856209150327</v>
      </c>
      <c r="F48" s="17" t="str">
        <f aca="false">IF(CMS_PL!G32="","",CMS_PL!G32)</f>
        <v/>
      </c>
      <c r="G48" s="40" t="str">
        <f aca="false">IF(OR(F48="",F47=""),"",F48/F47-1)</f>
        <v/>
      </c>
      <c r="H48" s="17" t="str">
        <f aca="false">IF(CMS_PL!K32="","",CMS_PL!K32)</f>
        <v/>
      </c>
      <c r="I48" s="40" t="str">
        <f aca="false">IF(OR(H48="",H47=""),"",H48/H47-1)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customFormat="false" ht="15" hidden="false" customHeight="false" outlineLevel="0" collapsed="false">
      <c r="A49" s="8" t="str">
        <f aca="false">CMS_PL!A33</f>
        <v>2022-Q4</v>
      </c>
      <c r="B49" s="17" t="n">
        <f aca="false">IF(CMS_PL!H33="","",CMS_PL!H33)</f>
        <v>17.874</v>
      </c>
      <c r="C49" s="40" t="n">
        <f aca="false">IF(OR(B49="",B48=""),"",B49/B48-1)</f>
        <v>0.0170706725844996</v>
      </c>
      <c r="D49" s="17" t="n">
        <f aca="false">IF(CMS_PL!F33="","",CMS_PL!F33)</f>
        <v>5.742</v>
      </c>
      <c r="E49" s="40" t="n">
        <f aca="false">IF(OR(D49="",D48=""),"",D49/D48-1)</f>
        <v>0.0394641564083997</v>
      </c>
      <c r="F49" s="17" t="str">
        <f aca="false">IF(CMS_PL!G33="","",CMS_PL!G33)</f>
        <v/>
      </c>
      <c r="G49" s="40" t="str">
        <f aca="false">IF(OR(F49="",F48=""),"",F49/F48-1)</f>
        <v/>
      </c>
      <c r="H49" s="17" t="str">
        <f aca="false">IF(CMS_PL!K33="","",CMS_PL!K33)</f>
        <v/>
      </c>
      <c r="I49" s="40" t="str">
        <f aca="false">IF(OR(H49="",H48=""),"",H49/H48-1)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customFormat="false" ht="15" hidden="false" customHeight="false" outlineLevel="0" collapsed="false">
      <c r="A50" s="8" t="str">
        <f aca="false">CMS_PL!A34</f>
        <v>2023-Q1</v>
      </c>
      <c r="B50" s="17" t="n">
        <f aca="false">IF(CMS_PL!H34="","",CMS_PL!H34)</f>
        <v>17.881</v>
      </c>
      <c r="C50" s="40" t="n">
        <f aca="false">IF(OR(B50="",B49=""),"",B50/B49-1)</f>
        <v>0.000391630300995871</v>
      </c>
      <c r="D50" s="17" t="n">
        <f aca="false">IF(CMS_PL!F34="","",CMS_PL!F34)</f>
        <v>5.949</v>
      </c>
      <c r="E50" s="40" t="n">
        <f aca="false">IF(OR(D50="",D49=""),"",D50/D49-1)</f>
        <v>0.0360501567398119</v>
      </c>
      <c r="F50" s="17" t="str">
        <f aca="false">IF(CMS_PL!G34="","",CMS_PL!G34)</f>
        <v/>
      </c>
      <c r="G50" s="40" t="str">
        <f aca="false">IF(OR(F50="",F49=""),"",F50/F49-1)</f>
        <v/>
      </c>
      <c r="H50" s="17" t="str">
        <f aca="false">IF(CMS_PL!K34="","",CMS_PL!K34)</f>
        <v/>
      </c>
      <c r="I50" s="40" t="str">
        <f aca="false">IF(OR(H50="",H49=""),"",H50/H49-1)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customFormat="false" ht="15" hidden="false" customHeight="false" outlineLevel="0" collapsed="false">
      <c r="A51" s="8" t="str">
        <f aca="false">CMS_PL!A35</f>
        <v>2023-Q2</v>
      </c>
      <c r="B51" s="17" t="n">
        <f aca="false">IF(CMS_PL!H35="","",CMS_PL!H35)</f>
        <v>17.911</v>
      </c>
      <c r="C51" s="40" t="n">
        <f aca="false">IF(OR(B51="",B50=""),"",B51/B50-1)</f>
        <v>0.00167775851462459</v>
      </c>
      <c r="D51" s="17" t="n">
        <f aca="false">IF(CMS_PL!F35="","",CMS_PL!F35)</f>
        <v>5.467</v>
      </c>
      <c r="E51" s="40" t="n">
        <f aca="false">IF(OR(D51="",D50=""),"",D51/D50-1)</f>
        <v>-0.0810220205076484</v>
      </c>
      <c r="F51" s="17" t="str">
        <f aca="false">IF(CMS_PL!G35="","",CMS_PL!G35)</f>
        <v/>
      </c>
      <c r="G51" s="40" t="str">
        <f aca="false">IF(OR(F51="",F50=""),"",F51/F50-1)</f>
        <v/>
      </c>
      <c r="H51" s="17" t="str">
        <f aca="false">IF(CMS_PL!K35="","",CMS_PL!K35)</f>
        <v/>
      </c>
      <c r="I51" s="40" t="str">
        <f aca="false">IF(OR(H51="",H50=""),"",H51/H50-1)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customFormat="false" ht="15" hidden="false" customHeight="false" outlineLevel="0" collapsed="false">
      <c r="A52" s="8" t="str">
        <f aca="false">CMS_PL!A36</f>
        <v>2023-Q3</v>
      </c>
      <c r="B52" s="17" t="n">
        <f aca="false">IF(CMS_PL!H36="","",CMS_PL!H36)</f>
        <v>17.514</v>
      </c>
      <c r="C52" s="40" t="n">
        <f aca="false">IF(OR(B52="",B51=""),"",B52/B51-1)</f>
        <v>-0.022165149907878</v>
      </c>
      <c r="D52" s="17" t="n">
        <f aca="false">IF(CMS_PL!F36="","",CMS_PL!F36)</f>
        <v>5.725</v>
      </c>
      <c r="E52" s="40" t="n">
        <f aca="false">IF(OR(D52="",D51=""),"",D52/D51-1)</f>
        <v>0.047192244375343</v>
      </c>
      <c r="F52" s="17" t="str">
        <f aca="false">IF(CMS_PL!G36="","",CMS_PL!G36)</f>
        <v/>
      </c>
      <c r="G52" s="40" t="str">
        <f aca="false">IF(OR(F52="",F51=""),"",F52/F51-1)</f>
        <v/>
      </c>
      <c r="H52" s="17" t="str">
        <f aca="false">IF(CMS_PL!K36="","",CMS_PL!K36)</f>
        <v/>
      </c>
      <c r="I52" s="40" t="str">
        <f aca="false">IF(OR(H52="",H51=""),"",H52/H51-1)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customFormat="false" ht="15" hidden="false" customHeight="false" outlineLevel="0" collapsed="false">
      <c r="A53" s="8" t="str">
        <f aca="false">CMS_PL!A37</f>
        <v>2023-Q4</v>
      </c>
      <c r="B53" s="17" t="n">
        <f aca="false">IF(CMS_PL!H37="","",CMS_PL!H37)</f>
        <v>17.672</v>
      </c>
      <c r="C53" s="40" t="n">
        <f aca="false">IF(OR(B53="",B52=""),"",B53/B52-1)</f>
        <v>0.00902135434509543</v>
      </c>
      <c r="D53" s="17" t="n">
        <f aca="false">IF(CMS_PL!F37="","",CMS_PL!F37)</f>
        <v>4.985</v>
      </c>
      <c r="E53" s="40" t="n">
        <f aca="false">IF(OR(D53="",D52=""),"",D53/D52-1)</f>
        <v>-0.129257641921397</v>
      </c>
      <c r="F53" s="17" t="str">
        <f aca="false">IF(CMS_PL!G37="","",CMS_PL!G37)</f>
        <v/>
      </c>
      <c r="G53" s="40" t="str">
        <f aca="false">IF(OR(F53="",F52=""),"",F53/F52-1)</f>
        <v/>
      </c>
      <c r="H53" s="17" t="str">
        <f aca="false">IF(CMS_PL!K37="","",CMS_PL!K37)</f>
        <v/>
      </c>
      <c r="I53" s="40" t="str">
        <f aca="false">IF(OR(H53="",H52=""),"",H53/H52-1)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customFormat="false" ht="15" hidden="false" customHeight="false" outlineLevel="0" collapsed="false">
      <c r="A54" s="8" t="str">
        <f aca="false">CMS_PL!A38</f>
        <v>2024-Q1</v>
      </c>
      <c r="B54" s="17" t="n">
        <f aca="false">IF(CMS_PL!H38="","",CMS_PL!H38)</f>
        <v>17.845</v>
      </c>
      <c r="C54" s="40" t="n">
        <f aca="false">IF(OR(B54="",B53=""),"",B54/B53-1)</f>
        <v>0.00978949751018554</v>
      </c>
      <c r="D54" s="17" t="n">
        <f aca="false">IF(CMS_PL!F38="","",CMS_PL!F38)</f>
        <v>5.882</v>
      </c>
      <c r="E54" s="40" t="n">
        <f aca="false">IF(OR(D54="",D53=""),"",D54/D53-1)</f>
        <v>0.179939819458375</v>
      </c>
      <c r="F54" s="17" t="str">
        <f aca="false">IF(CMS_PL!G38="","",CMS_PL!G38)</f>
        <v/>
      </c>
      <c r="G54" s="40" t="str">
        <f aca="false">IF(OR(F54="",F53=""),"",F54/F53-1)</f>
        <v/>
      </c>
      <c r="H54" s="17" t="str">
        <f aca="false">IF(CMS_PL!K38="","",CMS_PL!K38)</f>
        <v/>
      </c>
      <c r="I54" s="40" t="str">
        <f aca="false">IF(OR(H54="",H53=""),"",H54/H53-1)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customFormat="false" ht="15" hidden="false" customHeight="false" outlineLevel="0" collapsed="false">
      <c r="A55" s="8" t="str">
        <f aca="false">CMS_PL!A39</f>
        <v>2024-Q2</v>
      </c>
      <c r="B55" s="17" t="n">
        <f aca="false">IF(CMS_PL!H39="","",CMS_PL!H39)</f>
        <v>18.459</v>
      </c>
      <c r="C55" s="40" t="n">
        <f aca="false">IF(OR(B55="",B54=""),"",B55/B54-1)</f>
        <v>0.0344073970299805</v>
      </c>
      <c r="D55" s="17" t="str">
        <f aca="false">IF(CMS_PL!F39="","",CMS_PL!F39)</f>
        <v/>
      </c>
      <c r="E55" s="40" t="str">
        <f aca="false">IF(OR(D55="",D54=""),"",D55/D54-1)</f>
        <v/>
      </c>
      <c r="F55" s="17" t="n">
        <f aca="false">IF(CMS_PL!G39="","",CMS_PL!G39)</f>
        <v>0.273</v>
      </c>
      <c r="G55" s="40" t="str">
        <f aca="false">IF(OR(F55="",F54=""),"",F55/F54-1)</f>
        <v/>
      </c>
      <c r="H55" s="17" t="n">
        <f aca="false">IF(CMS_PL!K39="","",CMS_PL!K39)</f>
        <v>0.134</v>
      </c>
      <c r="I55" s="40" t="str">
        <f aca="false">IF(OR(H55="",H54=""),"",H55/H54-1)</f>
        <v/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customFormat="false" ht="15" hidden="false" customHeight="false" outlineLevel="0" collapsed="false">
      <c r="A56" s="8" t="str">
        <f aca="false">CMS_PL!A40</f>
        <v>2024-Q3</v>
      </c>
      <c r="B56" s="17" t="n">
        <f aca="false">IF(CMS_PL!H40="","",CMS_PL!H40)</f>
        <v>19.853</v>
      </c>
      <c r="C56" s="40" t="n">
        <f aca="false">IF(OR(B56="",B55=""),"",B56/B55-1)</f>
        <v>0.0755187171569425</v>
      </c>
      <c r="D56" s="17" t="str">
        <f aca="false">IF(CMS_PL!F40="","",CMS_PL!F40)</f>
        <v/>
      </c>
      <c r="E56" s="40" t="str">
        <f aca="false">IF(OR(D56="",D55=""),"",D56/D55-1)</f>
        <v/>
      </c>
      <c r="F56" s="17" t="n">
        <f aca="false">IF(CMS_PL!G40="","",CMS_PL!G40)</f>
        <v>0.295</v>
      </c>
      <c r="G56" s="40" t="n">
        <f aca="false">IF(OR(F56="",F55=""),"",F56/F55-1)</f>
        <v>0.0805860805860805</v>
      </c>
      <c r="H56" s="17" t="n">
        <f aca="false">IF(CMS_PL!K40="","",CMS_PL!K40)</f>
        <v>0.138</v>
      </c>
      <c r="I56" s="40" t="n">
        <f aca="false">IF(OR(H56="",H55=""),"",H56/H55-1)</f>
        <v>0.0298507462686568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customFormat="false" ht="15" hidden="false" customHeight="false" outlineLevel="0" collapsed="false">
      <c r="A57" s="8" t="str">
        <f aca="false">CMS_PL!A41</f>
        <v>2024-Q4</v>
      </c>
      <c r="B57" s="17" t="n">
        <f aca="false">IF(CMS_PL!H41="","",CMS_PL!H41)</f>
        <v>19.397</v>
      </c>
      <c r="C57" s="40" t="n">
        <f aca="false">IF(OR(B57="",B56=""),"",B57/B56-1)</f>
        <v>-0.0229688208331236</v>
      </c>
      <c r="D57" s="17" t="str">
        <f aca="false">IF(CMS_PL!F41="","",CMS_PL!F41)</f>
        <v/>
      </c>
      <c r="E57" s="40" t="str">
        <f aca="false">IF(OR(D57="",D56=""),"",D57/D56-1)</f>
        <v/>
      </c>
      <c r="F57" s="17" t="n">
        <f aca="false">IF(CMS_PL!G41="","",CMS_PL!G41)</f>
        <v>0.304</v>
      </c>
      <c r="G57" s="40" t="n">
        <f aca="false">IF(OR(F57="",F56=""),"",F57/F56-1)</f>
        <v>0.0305084745762712</v>
      </c>
      <c r="H57" s="17" t="n">
        <f aca="false">IF(CMS_PL!K41="","",CMS_PL!K41)</f>
        <v>0.119</v>
      </c>
      <c r="I57" s="40" t="n">
        <f aca="false">IF(OR(H57="",H56=""),"",H57/H56-1)</f>
        <v>-0.13768115942029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customFormat="false" ht="15" hidden="false" customHeight="false" outlineLevel="0" collapsed="false">
      <c r="A58" s="8" t="str">
        <f aca="false">CMS_PL!A42</f>
        <v>2025-Q1</v>
      </c>
      <c r="B58" s="17" t="n">
        <f aca="false">IF(CMS_PL!H42="","",CMS_PL!H42)</f>
        <v>20.939</v>
      </c>
      <c r="C58" s="40" t="n">
        <f aca="false">IF(OR(B58="",B57=""),"",B58/B57-1)</f>
        <v>0.0794968294066094</v>
      </c>
      <c r="D58" s="17" t="str">
        <f aca="false">IF(CMS_PL!F42="","",CMS_PL!F42)</f>
        <v/>
      </c>
      <c r="E58" s="40" t="str">
        <f aca="false">IF(OR(D58="",D57=""),"",D58/D57-1)</f>
        <v/>
      </c>
      <c r="F58" s="17" t="n">
        <f aca="false">IF(CMS_PL!G42="","",CMS_PL!G42)</f>
        <v>0.268</v>
      </c>
      <c r="G58" s="40" t="n">
        <f aca="false">IF(OR(F58="",F57=""),"",F58/F57-1)</f>
        <v>-0.118421052631579</v>
      </c>
      <c r="H58" s="17" t="n">
        <f aca="false">IF(CMS_PL!K42="","",CMS_PL!K42)</f>
        <v>0.117</v>
      </c>
      <c r="I58" s="40" t="n">
        <f aca="false">IF(OR(H58="",H57=""),"",H58/H57-1)</f>
        <v>-0.0168067226890756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customFormat="false" ht="15" hidden="false" customHeight="false" outlineLevel="0" collapsed="false">
      <c r="A59" s="8" t="str">
        <f aca="false">CMS_PL!A43</f>
        <v>2025-Q2</v>
      </c>
      <c r="B59" s="17" t="n">
        <f aca="false">IF(CMS_PL!H43="","",CMS_PL!H43)</f>
        <v>20.58</v>
      </c>
      <c r="C59" s="40" t="n">
        <f aca="false">IF(OR(B59="",B58=""),"",B59/B58-1)</f>
        <v>-0.0171450403553179</v>
      </c>
      <c r="D59" s="17" t="str">
        <f aca="false">IF(CMS_PL!F43="","",CMS_PL!F43)</f>
        <v/>
      </c>
      <c r="E59" s="40" t="str">
        <f aca="false">IF(OR(D59="",D58=""),"",D59/D58-1)</f>
        <v/>
      </c>
      <c r="F59" s="17" t="n">
        <f aca="false">IF(CMS_PL!G43="","",CMS_PL!G43)</f>
        <v>0.251</v>
      </c>
      <c r="G59" s="40" t="n">
        <f aca="false">IF(OR(F59="",F58=""),"",F59/F58-1)</f>
        <v>-0.0634328358208955</v>
      </c>
      <c r="H59" s="17" t="n">
        <f aca="false">IF(CMS_PL!K43="","",CMS_PL!K43)</f>
        <v>0.11</v>
      </c>
      <c r="I59" s="40" t="n">
        <f aca="false">IF(OR(H59="",H58=""),"",H59/H58-1)</f>
        <v>-0.0598290598290598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customFormat="false" ht="15" hidden="false" customHeight="false" outlineLevel="0" collapsed="false">
      <c r="A60" s="8" t="str">
        <f aca="false">CMS_PL!A44</f>
        <v>2025-Q3</v>
      </c>
      <c r="B60" s="17" t="n">
        <f aca="false">IF(CMS_PL!H44="","",CMS_PL!H44)</f>
        <v>21.201</v>
      </c>
      <c r="C60" s="40" t="n">
        <f aca="false">IF(OR(B60="",B59=""),"",B60/B59-1)</f>
        <v>0.0301749271137028</v>
      </c>
      <c r="D60" s="17" t="str">
        <f aca="false">IF(CMS_PL!F44="","",CMS_PL!F44)</f>
        <v/>
      </c>
      <c r="E60" s="40" t="str">
        <f aca="false">IF(OR(D60="",D59=""),"",D60/D59-1)</f>
        <v/>
      </c>
      <c r="F60" s="17" t="n">
        <f aca="false">IF(CMS_PL!G44="","",CMS_PL!G44)</f>
        <v>0.259</v>
      </c>
      <c r="G60" s="40" t="n">
        <f aca="false">IF(OR(F60="",F59=""),"",F60/F59-1)</f>
        <v>0.0318725099601593</v>
      </c>
      <c r="H60" s="17" t="n">
        <f aca="false">IF(CMS_PL!K44="","",CMS_PL!K44)</f>
        <v>0.12</v>
      </c>
      <c r="I60" s="40" t="n">
        <f aca="false">IF(OR(H60="",H59=""),"",H60/H59-1)</f>
        <v>0.0909090909090908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customFormat="false" ht="15" hidden="false" customHeight="false" outlineLevel="0" collapsed="false">
      <c r="A61" s="8" t="str">
        <f aca="false">CMS_PL!A45</f>
        <v>2025-Q4</v>
      </c>
      <c r="B61" s="17" t="n">
        <f aca="false">IF(CMS_PL!H45="","",CMS_PL!H45)</f>
        <v>21.312</v>
      </c>
      <c r="C61" s="40" t="n">
        <f aca="false">IF(OR(B61="",B60=""),"",B61/B60-1)</f>
        <v>0.00523560209424079</v>
      </c>
      <c r="D61" s="17" t="str">
        <f aca="false">IF(CMS_PL!F45="","",CMS_PL!F45)</f>
        <v/>
      </c>
      <c r="E61" s="40" t="str">
        <f aca="false">IF(OR(D61="",D60=""),"",D61/D60-1)</f>
        <v/>
      </c>
      <c r="F61" s="17" t="n">
        <f aca="false">IF(CMS_PL!G45="","",CMS_PL!G45)</f>
        <v>0.21</v>
      </c>
      <c r="G61" s="40" t="n">
        <f aca="false">IF(OR(F61="",F60=""),"",F61/F60-1)</f>
        <v>-0.189189189189189</v>
      </c>
      <c r="H61" s="17" t="n">
        <f aca="false">IF(CMS_PL!K45="","",CMS_PL!K45)</f>
        <v>0.119</v>
      </c>
      <c r="I61" s="40" t="n">
        <f aca="false">IF(OR(H61="",H60=""),"",H61/H60-1)</f>
        <v>-0.0083333333333333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customFormat="false" ht="15" hidden="false" customHeight="false" outlineLevel="0" collapsed="false">
      <c r="A62" s="8" t="str">
        <f aca="false">CMS_PL!A46</f>
        <v>2026-Q1</v>
      </c>
      <c r="B62" s="17" t="n">
        <f aca="false">IF(CMS_PL!H46="","",CMS_PL!H46)</f>
        <v>22.061</v>
      </c>
      <c r="C62" s="40" t="n">
        <f aca="false">IF(OR(B62="",B61=""),"",B62/B61-1)</f>
        <v>0.0351445195195195</v>
      </c>
      <c r="D62" s="17" t="str">
        <f aca="false">IF(CMS_PL!F46="","",CMS_PL!F46)</f>
        <v/>
      </c>
      <c r="E62" s="40" t="str">
        <f aca="false">IF(OR(D62="",D61=""),"",D62/D61-1)</f>
        <v/>
      </c>
      <c r="F62" s="17" t="n">
        <f aca="false">IF(CMS_PL!G46="","",CMS_PL!G46)</f>
        <v>0.264</v>
      </c>
      <c r="G62" s="40" t="n">
        <f aca="false">IF(OR(F62="",F61=""),"",F62/F61-1)</f>
        <v>0.257142857142857</v>
      </c>
      <c r="H62" s="17" t="n">
        <f aca="false">IF(CMS_PL!K46="","",CMS_PL!K46)</f>
        <v>0.12</v>
      </c>
      <c r="I62" s="40" t="n">
        <f aca="false">IF(OR(H62="",H61=""),"",H62/H61-1)</f>
        <v>0.00840336134453779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customFormat="false" ht="15" hidden="false" customHeight="false" outlineLevel="0" collapsed="false">
      <c r="A63" s="8" t="str">
        <f aca="false">CMS_PL!A47</f>
        <v>2026-Q2</v>
      </c>
      <c r="B63" s="17" t="n">
        <f aca="false">IF(CMS_PL!H47="","",CMS_PL!H47)</f>
        <v>22.141</v>
      </c>
      <c r="C63" s="40" t="n">
        <f aca="false">IF(OR(B63="",B62=""),"",B63/B62-1)</f>
        <v>0.00362630887085791</v>
      </c>
      <c r="D63" s="17" t="str">
        <f aca="false">IF(CMS_PL!F47="","",CMS_PL!F47)</f>
        <v/>
      </c>
      <c r="E63" s="40" t="str">
        <f aca="false">IF(OR(D63="",D62=""),"",D63/D62-1)</f>
        <v/>
      </c>
      <c r="F63" s="17" t="n">
        <f aca="false">IF(CMS_PL!G47="","",CMS_PL!G47)</f>
        <v>0.241</v>
      </c>
      <c r="G63" s="40" t="n">
        <f aca="false">IF(OR(F63="",F62=""),"",F63/F62-1)</f>
        <v>-0.0871212121212122</v>
      </c>
      <c r="H63" s="17" t="n">
        <f aca="false">IF(CMS_PL!K47="","",CMS_PL!K47)</f>
        <v>0.112</v>
      </c>
      <c r="I63" s="40" t="n">
        <f aca="false">IF(OR(H63="",H62=""),"",H63/H62-1)</f>
        <v>-0.0666666666666667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customFormat="false" ht="15" hidden="false" customHeight="false" outlineLevel="0" collapsed="false">
      <c r="A64" s="8" t="str">
        <f aca="false">CMS_PL!A48</f>
        <v>2026-Q3</v>
      </c>
      <c r="B64" s="17" t="n">
        <f aca="false">IF(CMS_PL!H48="","",CMS_PL!H48)</f>
        <v>23.056</v>
      </c>
      <c r="C64" s="40" t="n">
        <f aca="false">IF(OR(B64="",B63=""),"",B64/B63-1)</f>
        <v>0.0413260467006911</v>
      </c>
      <c r="D64" s="17" t="str">
        <f aca="false">IF(CMS_PL!F48="","",CMS_PL!F48)</f>
        <v/>
      </c>
      <c r="E64" s="40" t="str">
        <f aca="false">IF(OR(D64="",D63=""),"",D64/D63-1)</f>
        <v/>
      </c>
      <c r="F64" s="17" t="n">
        <f aca="false">IF(CMS_PL!G48="","",CMS_PL!G48)</f>
        <v>0.224</v>
      </c>
      <c r="G64" s="40" t="n">
        <f aca="false">IF(OR(F64="",F63=""),"",F64/F63-1)</f>
        <v>-0.0705394190871369</v>
      </c>
      <c r="H64" s="17" t="n">
        <f aca="false">IF(CMS_PL!K48="","",CMS_PL!K48)</f>
        <v>0.117</v>
      </c>
      <c r="I64" s="40" t="n">
        <f aca="false">IF(OR(H64="",H63=""),"",H64/H63-1)</f>
        <v>0.0446428571428572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customFormat="false" ht="15" hidden="false" customHeight="false" outlineLevel="0" collapsed="false">
      <c r="A65" s="8" t="str">
        <f aca="false">CMS_PL!A49</f>
        <v>2026-Q4</v>
      </c>
      <c r="B65" s="17" t="n">
        <f aca="false">IF(CMS_PL!H49="","",CMS_PL!H49)</f>
        <v>23.149</v>
      </c>
      <c r="C65" s="40" t="n">
        <f aca="false">IF(OR(B65="",B64=""),"",B65/B64-1)</f>
        <v>0.00403365718251214</v>
      </c>
      <c r="D65" s="17" t="str">
        <f aca="false">IF(CMS_PL!F49="","",CMS_PL!F49)</f>
        <v/>
      </c>
      <c r="E65" s="40" t="str">
        <f aca="false">IF(OR(D65="",D64=""),"",D65/D64-1)</f>
        <v/>
      </c>
      <c r="F65" s="17" t="n">
        <f aca="false">IF(CMS_PL!G49="","",CMS_PL!G49)</f>
        <v>0.255</v>
      </c>
      <c r="G65" s="40" t="n">
        <f aca="false">IF(OR(F65="",F64=""),"",F65/F64-1)</f>
        <v>0.138392857142857</v>
      </c>
      <c r="H65" s="17" t="n">
        <f aca="false">IF(CMS_PL!K49="","",CMS_PL!K49)</f>
        <v>0.123</v>
      </c>
      <c r="I65" s="40" t="n">
        <f aca="false">IF(OR(H65="",H64=""),"",H65/H64-1)</f>
        <v>0.0512820512820511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customFormat="false" ht="15" hidden="false" customHeight="false" outlineLevel="0" collapsed="false">
      <c r="A67" s="4" t="s">
        <v>419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customFormat="false" ht="15" hidden="false" customHeight="false" outlineLevel="0" collapsed="false">
      <c r="A68" s="10" t="s">
        <v>420</v>
      </c>
      <c r="B68" s="10" t="s">
        <v>151</v>
      </c>
      <c r="C68" s="10" t="s">
        <v>224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customFormat="false" ht="15" hidden="false" customHeight="false" outlineLevel="0" collapsed="false">
      <c r="A69" s="6" t="s">
        <v>421</v>
      </c>
      <c r="B69" s="40" t="n">
        <f aca="false">MIN(C23:C65)</f>
        <v>-0.0229688208331236</v>
      </c>
      <c r="C69" s="7" t="str">
        <f aca="false">INDEX(A22:A65,MATCH(B69,C22:C65,0))</f>
        <v>2024-Q4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customFormat="false" ht="15" hidden="false" customHeight="false" outlineLevel="0" collapsed="false">
      <c r="A70" s="6" t="s">
        <v>422</v>
      </c>
      <c r="B70" s="40" t="n">
        <f aca="false">MAX(C23:C65)</f>
        <v>0.201239760903254</v>
      </c>
      <c r="C70" s="7" t="str">
        <f aca="false">INDEX(A22:A65,MATCH(B70,C22:C65,0))</f>
        <v>2017-Q3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customFormat="false" ht="15" hidden="false" customHeight="false" outlineLevel="0" collapsed="false">
      <c r="A71" s="6" t="s">
        <v>423</v>
      </c>
      <c r="B71" s="40" t="n">
        <f aca="false">INDEX(C22:C65,MATCH("2017-Q3",A22:A65,0))</f>
        <v>0.201239760903254</v>
      </c>
      <c r="C71" s="6" t="s">
        <v>258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customFormat="false" ht="15" hidden="false" customHeight="false" outlineLevel="0" collapsed="false">
      <c r="A72" s="6" t="s">
        <v>424</v>
      </c>
      <c r="B72" s="40" t="n">
        <f aca="false">INDEX(C22:C65,MATCH("2022-Q3",A22:A65,0))</f>
        <v>0.192023333107237</v>
      </c>
      <c r="C72" s="6" t="s">
        <v>323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customFormat="false" ht="15" hidden="false" customHeight="false" outlineLevel="0" collapsed="false">
      <c r="A73" s="6" t="s">
        <v>425</v>
      </c>
      <c r="B73" s="40" t="n">
        <f aca="false">INDEX(G22:G65,MATCH("2025-Q4",A22:A65,0))</f>
        <v>-0.189189189189189</v>
      </c>
      <c r="C73" s="6" t="s">
        <v>365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customFormat="false" ht="15" hidden="false" customHeight="false" outlineLevel="0" collapsed="false">
      <c r="A74" s="6" t="s">
        <v>426</v>
      </c>
      <c r="B74" s="40" t="n">
        <f aca="false">INDEX(G22:G65,MATCH("2026-Q1",A22:A65,0))</f>
        <v>0.257142857142857</v>
      </c>
      <c r="C74" s="6" t="s">
        <v>368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customFormat="false" ht="15" hidden="false" customHeight="false" outlineLevel="0" collapsed="false">
      <c r="A75" s="6" t="s">
        <v>81</v>
      </c>
      <c r="B75" s="41" t="n">
        <f aca="false">AVERAGEIFS(CMS_PL!$G$6:$G$49,CMS_PL!$B$6:$B$49,"2025")/Assumptions!$B$5</f>
        <v>0.233018867924528</v>
      </c>
      <c r="C75" s="6" t="s">
        <v>356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customFormat="false" ht="15" hidden="false" customHeight="false" outlineLevel="0" collapsed="false">
      <c r="A76" s="6" t="s">
        <v>82</v>
      </c>
      <c r="B76" s="41" t="n">
        <f aca="false">AVERAGEIFS(CMS_PL!$G$6:$G$49,CMS_PL!$B$6:$B$49,"2026")/Assumptions!$B$5</f>
        <v>0.232075471698113</v>
      </c>
      <c r="C76" s="6" t="s">
        <v>369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customFormat="false" ht="15" hidden="false" customHeight="false" outlineLevel="0" collapsed="false">
      <c r="A77" s="6" t="s">
        <v>427</v>
      </c>
      <c r="B77" s="40" t="n">
        <f aca="false">(INDEX(B22:B65,MATCH("2026-Q4",A22:A65,0))/INDEX(B22:B65,MATCH("2016-Q1",A22:A65,0)))^(1/($I$3-$B$3))-1</f>
        <v>0.11050728434684</v>
      </c>
      <c r="C77" s="6" t="s">
        <v>428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10" style="0" width="32"/>
    <col collapsed="false" customWidth="true" hidden="false" outlineLevel="0" max="16" min="11" style="0" width="11"/>
    <col collapsed="false" customWidth="true" hidden="false" outlineLevel="0" max="18" min="17" style="0" width="12"/>
  </cols>
  <sheetData>
    <row r="1" customFormat="false" ht="17.35" hidden="false" customHeight="false" outlineLevel="0" collapsed="false">
      <c r="A1" s="1" t="s">
        <v>429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430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4" t="s">
        <v>431</v>
      </c>
      <c r="K4" s="28" t="n">
        <v>45482</v>
      </c>
      <c r="L4" s="28" t="n">
        <v>45744</v>
      </c>
      <c r="M4" s="28" t="n">
        <v>45866</v>
      </c>
      <c r="N4" s="28" t="n">
        <v>45933</v>
      </c>
      <c r="O4" s="28" t="n">
        <v>46031</v>
      </c>
      <c r="P4" s="28" t="n">
        <v>46209</v>
      </c>
      <c r="Q4" s="2"/>
      <c r="R4" s="2"/>
    </row>
    <row r="5" customFormat="false" ht="42" hidden="false" customHeight="true" outlineLevel="0" collapsed="false">
      <c r="A5" s="10" t="s">
        <v>432</v>
      </c>
      <c r="B5" s="10" t="s">
        <v>433</v>
      </c>
      <c r="C5" s="10" t="s">
        <v>434</v>
      </c>
      <c r="D5" s="10" t="s">
        <v>435</v>
      </c>
      <c r="E5" s="10" t="s">
        <v>436</v>
      </c>
      <c r="F5" s="10" t="s">
        <v>437</v>
      </c>
      <c r="G5" s="10" t="s">
        <v>438</v>
      </c>
      <c r="H5" s="10" t="s">
        <v>439</v>
      </c>
      <c r="I5" s="2"/>
      <c r="J5" s="10" t="s">
        <v>435</v>
      </c>
      <c r="K5" s="10" t="s">
        <v>440</v>
      </c>
      <c r="L5" s="10" t="s">
        <v>441</v>
      </c>
      <c r="M5" s="10" t="s">
        <v>442</v>
      </c>
      <c r="N5" s="10" t="s">
        <v>443</v>
      </c>
      <c r="O5" s="10" t="s">
        <v>444</v>
      </c>
      <c r="P5" s="10" t="s">
        <v>445</v>
      </c>
      <c r="Q5" s="10" t="s">
        <v>446</v>
      </c>
      <c r="R5" s="10" t="s">
        <v>447</v>
      </c>
    </row>
    <row r="6" customFormat="false" ht="15" hidden="false" customHeight="false" outlineLevel="0" collapsed="false">
      <c r="A6" s="5" t="s">
        <v>448</v>
      </c>
      <c r="B6" s="28" t="n">
        <v>45482</v>
      </c>
      <c r="C6" s="5" t="s">
        <v>449</v>
      </c>
      <c r="D6" s="5" t="s">
        <v>450</v>
      </c>
      <c r="E6" s="14" t="n">
        <v>158.57</v>
      </c>
      <c r="F6" s="20" t="n">
        <v>1</v>
      </c>
      <c r="G6" s="38" t="n">
        <f aca="false">E6/F6</f>
        <v>158.57</v>
      </c>
      <c r="H6" s="36" t="s">
        <v>451</v>
      </c>
      <c r="I6" s="2"/>
      <c r="J6" s="6" t="s">
        <v>450</v>
      </c>
      <c r="K6" s="38" t="n">
        <f aca="false">IFERROR(AVERAGEIFS($G$6:$G$119,$D$6:$D$119,$J6,$B$6:$B$119,K$4),"")</f>
        <v>158.57</v>
      </c>
      <c r="L6" s="38" t="n">
        <f aca="false">IFERROR(AVERAGEIFS($G$6:$G$119,$D$6:$D$119,$J6,$B$6:$B$119,L$4),"")</f>
        <v>166.5</v>
      </c>
      <c r="M6" s="38" t="n">
        <f aca="false">IFERROR(AVERAGEIFS($G$6:$G$119,$D$6:$D$119,$J6,$B$6:$B$119,M$4),"")</f>
        <v>174.83</v>
      </c>
      <c r="N6" s="38" t="n">
        <f aca="false">IFERROR(AVERAGEIFS($G$6:$G$119,$D$6:$D$119,$J6,$B$6:$B$119,N$4),"")</f>
        <v>174.83</v>
      </c>
      <c r="O6" s="38" t="n">
        <f aca="false">IFERROR(AVERAGEIFS($G$6:$G$119,$D$6:$D$119,$J6,$B$6:$B$119,O$4),"")</f>
        <v>201.05</v>
      </c>
      <c r="P6" s="38" t="n">
        <f aca="false">IFERROR(AVERAGEIFS($G$6:$G$119,$D$6:$D$119,$J6,$B$6:$B$119,P$4),"")</f>
        <v>201.05</v>
      </c>
      <c r="Q6" s="40" t="n">
        <f aca="false">IF(OR(K6="",P6=""),"",P6/K6-1)</f>
        <v>0.267894305354103</v>
      </c>
      <c r="R6" s="40" t="n">
        <f aca="false">IF(OR(L6="",M6=""),"",M6/L6-1)</f>
        <v>0.05003003003003</v>
      </c>
    </row>
    <row r="7" customFormat="false" ht="15" hidden="false" customHeight="false" outlineLevel="0" collapsed="false">
      <c r="A7" s="5" t="s">
        <v>448</v>
      </c>
      <c r="B7" s="28" t="n">
        <v>45744</v>
      </c>
      <c r="C7" s="5" t="s">
        <v>452</v>
      </c>
      <c r="D7" s="5" t="s">
        <v>450</v>
      </c>
      <c r="E7" s="14" t="n">
        <v>166.5</v>
      </c>
      <c r="F7" s="20" t="n">
        <v>1</v>
      </c>
      <c r="G7" s="38" t="n">
        <f aca="false">E7/F7</f>
        <v>166.5</v>
      </c>
      <c r="H7" s="36" t="s">
        <v>451</v>
      </c>
      <c r="I7" s="2"/>
      <c r="J7" s="6" t="s">
        <v>453</v>
      </c>
      <c r="K7" s="38" t="n">
        <f aca="false">IFERROR(AVERAGEIFS($G$6:$G$119,$D$6:$D$119,$J7,$B$6:$B$119,K$4),"")</f>
        <v>21.43</v>
      </c>
      <c r="L7" s="38" t="n">
        <f aca="false">IFERROR(AVERAGEIFS($G$6:$G$119,$D$6:$D$119,$J7,$B$6:$B$119,L$4),"")</f>
        <v>22.5</v>
      </c>
      <c r="M7" s="38" t="n">
        <f aca="false">IFERROR(AVERAGEIFS($G$6:$G$119,$D$6:$D$119,$J7,$B$6:$B$119,M$4),"")</f>
        <v>23.6252</v>
      </c>
      <c r="N7" s="38" t="n">
        <f aca="false">IFERROR(AVERAGEIFS($G$6:$G$119,$D$6:$D$119,$J7,$B$6:$B$119,N$4),"")</f>
        <v>23.6252</v>
      </c>
      <c r="O7" s="38" t="n">
        <f aca="false">IFERROR(AVERAGEIFS($G$6:$G$119,$D$6:$D$119,$J7,$B$6:$B$119,O$4),"")</f>
        <v>24.8064</v>
      </c>
      <c r="P7" s="38" t="n">
        <f aca="false">IFERROR(AVERAGEIFS($G$6:$G$119,$D$6:$D$119,$J7,$B$6:$B$119,P$4),"")</f>
        <v>24.8064</v>
      </c>
      <c r="Q7" s="40" t="n">
        <f aca="false">IF(OR(K7="",P7=""),"",P7/K7-1)</f>
        <v>0.157554829678022</v>
      </c>
      <c r="R7" s="40" t="n">
        <f aca="false">IF(OR(L7="",M7=""),"",M7/L7-1)</f>
        <v>0.0500088888888888</v>
      </c>
    </row>
    <row r="8" customFormat="false" ht="15" hidden="false" customHeight="false" outlineLevel="0" collapsed="false">
      <c r="A8" s="5" t="s">
        <v>448</v>
      </c>
      <c r="B8" s="28" t="n">
        <v>45866</v>
      </c>
      <c r="C8" s="5" t="s">
        <v>452</v>
      </c>
      <c r="D8" s="5" t="s">
        <v>450</v>
      </c>
      <c r="E8" s="14" t="n">
        <v>174.83</v>
      </c>
      <c r="F8" s="20" t="n">
        <v>1</v>
      </c>
      <c r="G8" s="38" t="n">
        <f aca="false">E8/F8</f>
        <v>174.83</v>
      </c>
      <c r="H8" s="36" t="s">
        <v>451</v>
      </c>
      <c r="I8" s="2"/>
      <c r="J8" s="6" t="s">
        <v>454</v>
      </c>
      <c r="K8" s="38" t="n">
        <f aca="false">IFERROR(AVERAGEIFS($G$6:$G$119,$D$6:$D$119,$J8,$B$6:$B$119,K$4),"")</f>
        <v>21.42</v>
      </c>
      <c r="L8" s="38" t="n">
        <f aca="false">IFERROR(AVERAGEIFS($G$6:$G$119,$D$6:$D$119,$J8,$B$6:$B$119,L$4),"")</f>
        <v>22.92</v>
      </c>
      <c r="M8" s="38" t="n">
        <f aca="false">IFERROR(AVERAGEIFS($G$6:$G$119,$D$6:$D$119,$J8,$B$6:$B$119,M$4),"")</f>
        <v>24.07</v>
      </c>
      <c r="N8" s="38" t="n">
        <f aca="false">IFERROR(AVERAGEIFS($G$6:$G$119,$D$6:$D$119,$J8,$B$6:$B$119,N$4),"")</f>
        <v>24.07</v>
      </c>
      <c r="O8" s="38" t="n">
        <f aca="false">IFERROR(AVERAGEIFS($G$6:$G$119,$D$6:$D$119,$J8,$B$6:$B$119,O$4),"")</f>
        <v>25.27</v>
      </c>
      <c r="P8" s="38" t="n">
        <f aca="false">IFERROR(AVERAGEIFS($G$6:$G$119,$D$6:$D$119,$J8,$B$6:$B$119,P$4),"")</f>
        <v>25.27</v>
      </c>
      <c r="Q8" s="40" t="n">
        <f aca="false">IF(OR(K8="",P8=""),"",P8/K8-1)</f>
        <v>0.179738562091503</v>
      </c>
      <c r="R8" s="40" t="n">
        <f aca="false">IF(OR(L8="",M8=""),"",M8/L8-1)</f>
        <v>0.0501745200698081</v>
      </c>
    </row>
    <row r="9" customFormat="false" ht="15" hidden="false" customHeight="false" outlineLevel="0" collapsed="false">
      <c r="A9" s="5" t="s">
        <v>448</v>
      </c>
      <c r="B9" s="28" t="n">
        <v>45933</v>
      </c>
      <c r="C9" s="5" t="s">
        <v>452</v>
      </c>
      <c r="D9" s="5" t="s">
        <v>450</v>
      </c>
      <c r="E9" s="14" t="n">
        <v>174.83</v>
      </c>
      <c r="F9" s="20" t="n">
        <v>1</v>
      </c>
      <c r="G9" s="38" t="n">
        <f aca="false">E9/F9</f>
        <v>174.83</v>
      </c>
      <c r="H9" s="36" t="s">
        <v>451</v>
      </c>
      <c r="I9" s="2"/>
      <c r="J9" s="6" t="s">
        <v>455</v>
      </c>
      <c r="K9" s="38" t="n">
        <f aca="false">IFERROR(AVERAGEIFS($G$6:$G$119,$D$6:$D$119,$J9,$B$6:$B$119,K$4),"")</f>
        <v>15.86</v>
      </c>
      <c r="L9" s="38" t="n">
        <f aca="false">IFERROR(AVERAGEIFS($G$6:$G$119,$D$6:$D$119,$J9,$B$6:$B$119,L$4),"")</f>
        <v>18.24</v>
      </c>
      <c r="M9" s="38" t="n">
        <f aca="false">IFERROR(AVERAGEIFS($G$6:$G$119,$D$6:$D$119,$J9,$B$6:$B$119,M$4),"")</f>
        <v>19.15</v>
      </c>
      <c r="N9" s="38" t="n">
        <f aca="false">IFERROR(AVERAGEIFS($G$6:$G$119,$D$6:$D$119,$J9,$B$6:$B$119,N$4),"")</f>
        <v>19.15</v>
      </c>
      <c r="O9" s="38" t="n">
        <f aca="false">IFERROR(AVERAGEIFS($G$6:$G$119,$D$6:$D$119,$J9,$B$6:$B$119,O$4),"")</f>
        <v>20.11</v>
      </c>
      <c r="P9" s="38" t="n">
        <f aca="false">IFERROR(AVERAGEIFS($G$6:$G$119,$D$6:$D$119,$J9,$B$6:$B$119,P$4),"")</f>
        <v>20.11</v>
      </c>
      <c r="Q9" s="40" t="n">
        <f aca="false">IF(OR(K9="",P9=""),"",P9/K9-1)</f>
        <v>0.26796973518285</v>
      </c>
      <c r="R9" s="40" t="n">
        <f aca="false">IF(OR(L9="",M9=""),"",M9/L9-1)</f>
        <v>0.0498903508771931</v>
      </c>
    </row>
    <row r="10" customFormat="false" ht="15" hidden="false" customHeight="false" outlineLevel="0" collapsed="false">
      <c r="A10" s="5" t="s">
        <v>448</v>
      </c>
      <c r="B10" s="28" t="n">
        <v>46031</v>
      </c>
      <c r="C10" s="5" t="s">
        <v>452</v>
      </c>
      <c r="D10" s="5" t="s">
        <v>450</v>
      </c>
      <c r="E10" s="14" t="n">
        <v>201.05</v>
      </c>
      <c r="F10" s="20" t="n">
        <v>1</v>
      </c>
      <c r="G10" s="38" t="n">
        <f aca="false">E10/F10</f>
        <v>201.05</v>
      </c>
      <c r="H10" s="36" t="s">
        <v>451</v>
      </c>
      <c r="I10" s="2"/>
      <c r="J10" s="6" t="s">
        <v>456</v>
      </c>
      <c r="K10" s="38" t="n">
        <f aca="false">IFERROR(AVERAGEIFS($G$6:$G$119,$D$6:$D$119,$J10,$B$6:$B$119,K$4),"")</f>
        <v>39.64</v>
      </c>
      <c r="L10" s="38" t="n">
        <f aca="false">IFERROR(AVERAGEIFS($G$6:$G$119,$D$6:$D$119,$J10,$B$6:$B$119,L$4),"")</f>
        <v>41.6172</v>
      </c>
      <c r="M10" s="38" t="n">
        <f aca="false">IFERROR(AVERAGEIFS($G$6:$G$119,$D$6:$D$119,$J10,$B$6:$B$119,M$4),"")</f>
        <v>43.698</v>
      </c>
      <c r="N10" s="38" t="n">
        <f aca="false">IFERROR(AVERAGEIFS($G$6:$G$119,$D$6:$D$119,$J10,$B$6:$B$119,N$4),"")</f>
        <v>43.698</v>
      </c>
      <c r="O10" s="38" t="n">
        <f aca="false">IFERROR(AVERAGEIFS($G$6:$G$119,$D$6:$D$119,$J10,$B$6:$B$119,O$4),"")</f>
        <v>48.068</v>
      </c>
      <c r="P10" s="38" t="n">
        <f aca="false">IFERROR(AVERAGEIFS($G$6:$G$119,$D$6:$D$119,$J10,$B$6:$B$119,P$4),"")</f>
        <v>48.068</v>
      </c>
      <c r="Q10" s="40" t="n">
        <f aca="false">IF(OR(K10="",P10=""),"",P10/K10-1)</f>
        <v>0.212613521695257</v>
      </c>
      <c r="R10" s="40" t="n">
        <f aca="false">IF(OR(L10="",M10=""),"",M10/L10-1)</f>
        <v>0.0499985582883999</v>
      </c>
    </row>
    <row r="11" customFormat="false" ht="15" hidden="false" customHeight="false" outlineLevel="0" collapsed="false">
      <c r="A11" s="5" t="s">
        <v>448</v>
      </c>
      <c r="B11" s="28" t="n">
        <v>46209</v>
      </c>
      <c r="C11" s="5" t="s">
        <v>452</v>
      </c>
      <c r="D11" s="5" t="s">
        <v>450</v>
      </c>
      <c r="E11" s="14" t="n">
        <v>201.05</v>
      </c>
      <c r="F11" s="20" t="n">
        <v>1</v>
      </c>
      <c r="G11" s="38" t="n">
        <f aca="false">E11/F11</f>
        <v>201.05</v>
      </c>
      <c r="H11" s="36" t="s">
        <v>451</v>
      </c>
      <c r="I11" s="2"/>
      <c r="J11" s="6" t="s">
        <v>457</v>
      </c>
      <c r="K11" s="38" t="n">
        <f aca="false">IFERROR(AVERAGEIFS($G$6:$G$119,$D$6:$D$119,$J11,$B$6:$B$119,K$4),"")</f>
        <v>39.64</v>
      </c>
      <c r="L11" s="38" t="n">
        <f aca="false">IFERROR(AVERAGEIFS($G$6:$G$119,$D$6:$D$119,$J11,$B$6:$B$119,L$4),"")</f>
        <v>42.41</v>
      </c>
      <c r="M11" s="38" t="n">
        <f aca="false">IFERROR(AVERAGEIFS($G$6:$G$119,$D$6:$D$119,$J11,$B$6:$B$119,M$4),"")</f>
        <v>44.53</v>
      </c>
      <c r="N11" s="38" t="n">
        <f aca="false">IFERROR(AVERAGEIFS($G$6:$G$119,$D$6:$D$119,$J11,$B$6:$B$119,N$4),"")</f>
        <v>44.53</v>
      </c>
      <c r="O11" s="38" t="n">
        <f aca="false">IFERROR(AVERAGEIFS($G$6:$G$119,$D$6:$D$119,$J11,$B$6:$B$119,O$4),"")</f>
        <v>51.21</v>
      </c>
      <c r="P11" s="38" t="n">
        <f aca="false">IFERROR(AVERAGEIFS($G$6:$G$119,$D$6:$D$119,$J11,$B$6:$B$119,P$4),"")</f>
        <v>51.21</v>
      </c>
      <c r="Q11" s="40" t="n">
        <f aca="false">IF(OR(K11="",P11=""),"",P11/K11-1)</f>
        <v>0.291876892028254</v>
      </c>
      <c r="R11" s="40" t="n">
        <f aca="false">IF(OR(L11="",M11=""),"",M11/L11-1)</f>
        <v>0.0499882103277529</v>
      </c>
    </row>
    <row r="12" customFormat="false" ht="15" hidden="false" customHeight="false" outlineLevel="0" collapsed="false">
      <c r="A12" s="5" t="s">
        <v>448</v>
      </c>
      <c r="B12" s="28" t="n">
        <v>45482</v>
      </c>
      <c r="C12" s="5" t="s">
        <v>458</v>
      </c>
      <c r="D12" s="5" t="s">
        <v>453</v>
      </c>
      <c r="E12" s="14" t="n">
        <v>21.43</v>
      </c>
      <c r="F12" s="20" t="n">
        <v>1</v>
      </c>
      <c r="G12" s="38" t="n">
        <f aca="false">E12/F12</f>
        <v>21.43</v>
      </c>
      <c r="H12" s="36" t="s">
        <v>451</v>
      </c>
      <c r="I12" s="2"/>
      <c r="J12" s="6" t="s">
        <v>459</v>
      </c>
      <c r="K12" s="38" t="n">
        <f aca="false">IFERROR(AVERAGEIFS($G$6:$G$119,$D$6:$D$119,$J12,$B$6:$B$119,K$4),"")</f>
        <v>79.31</v>
      </c>
      <c r="L12" s="38" t="n">
        <f aca="false">IFERROR(AVERAGEIFS($G$6:$G$119,$D$6:$D$119,$J12,$B$6:$B$119,L$4),"")</f>
        <v>83.28</v>
      </c>
      <c r="M12" s="38" t="n">
        <f aca="false">IFERROR(AVERAGEIFS($G$6:$G$119,$D$6:$D$119,$J12,$B$6:$B$119,M$4),"")</f>
        <v>87.44</v>
      </c>
      <c r="N12" s="38" t="n">
        <f aca="false">IFERROR(AVERAGEIFS($G$6:$G$119,$D$6:$D$119,$J12,$B$6:$B$119,N$4),"")</f>
        <v>87.44</v>
      </c>
      <c r="O12" s="38" t="n">
        <f aca="false">IFERROR(AVERAGEIFS($G$6:$G$119,$D$6:$D$119,$J12,$B$6:$B$119,O$4),"")</f>
        <v>100.56</v>
      </c>
      <c r="P12" s="38" t="n">
        <f aca="false">IFERROR(AVERAGEIFS($G$6:$G$119,$D$6:$D$119,$J12,$B$6:$B$119,P$4),"")</f>
        <v>100.56</v>
      </c>
      <c r="Q12" s="40" t="n">
        <f aca="false">IF(OR(K12="",P12=""),"",P12/K12-1)</f>
        <v>0.267935947547598</v>
      </c>
      <c r="R12" s="40" t="n">
        <f aca="false">IF(OR(L12="",M12=""),"",M12/L12-1)</f>
        <v>0.0499519692603265</v>
      </c>
    </row>
    <row r="13" customFormat="false" ht="15" hidden="false" customHeight="false" outlineLevel="0" collapsed="false">
      <c r="A13" s="5" t="s">
        <v>448</v>
      </c>
      <c r="B13" s="28" t="n">
        <v>45744</v>
      </c>
      <c r="C13" s="5" t="s">
        <v>460</v>
      </c>
      <c r="D13" s="5" t="s">
        <v>453</v>
      </c>
      <c r="E13" s="14" t="n">
        <v>562.5</v>
      </c>
      <c r="F13" s="20" t="n">
        <v>25</v>
      </c>
      <c r="G13" s="38" t="n">
        <f aca="false">E13/F13</f>
        <v>22.5</v>
      </c>
      <c r="H13" s="36" t="s">
        <v>451</v>
      </c>
      <c r="I13" s="2"/>
      <c r="J13" s="6" t="s">
        <v>461</v>
      </c>
      <c r="K13" s="38" t="n">
        <f aca="false">IFERROR(AVERAGEIFS($G$6:$G$119,$D$6:$D$119,$J13,$B$6:$B$119,K$4),"")</f>
        <v>68.92</v>
      </c>
      <c r="L13" s="38" t="n">
        <f aca="false">IFERROR(AVERAGEIFS($G$6:$G$119,$D$6:$D$119,$J13,$B$6:$B$119,L$4),"")</f>
        <v>68.92</v>
      </c>
      <c r="M13" s="38" t="n">
        <f aca="false">IFERROR(AVERAGEIFS($G$6:$G$119,$D$6:$D$119,$J13,$B$6:$B$119,M$4),"")</f>
        <v>68.92</v>
      </c>
      <c r="N13" s="38" t="n">
        <f aca="false">IFERROR(AVERAGEIFS($G$6:$G$119,$D$6:$D$119,$J13,$B$6:$B$119,N$4),"")</f>
        <v>68.92</v>
      </c>
      <c r="O13" s="38" t="n">
        <f aca="false">IFERROR(AVERAGEIFS($G$6:$G$119,$D$6:$D$119,$J13,$B$6:$B$119,O$4),"")</f>
        <v>68.92</v>
      </c>
      <c r="P13" s="38" t="n">
        <f aca="false">IFERROR(AVERAGEIFS($G$6:$G$119,$D$6:$D$119,$J13,$B$6:$B$119,P$4),"")</f>
        <v>68.92</v>
      </c>
      <c r="Q13" s="40" t="n">
        <f aca="false">IF(OR(K13="",P13=""),"",P13/K13-1)</f>
        <v>0</v>
      </c>
      <c r="R13" s="40" t="n">
        <f aca="false">IF(OR(L13="",M13=""),"",M13/L13-1)</f>
        <v>0</v>
      </c>
    </row>
    <row r="14" customFormat="false" ht="15" hidden="false" customHeight="false" outlineLevel="0" collapsed="false">
      <c r="A14" s="5" t="s">
        <v>448</v>
      </c>
      <c r="B14" s="28" t="n">
        <v>45866</v>
      </c>
      <c r="C14" s="5" t="s">
        <v>460</v>
      </c>
      <c r="D14" s="5" t="s">
        <v>453</v>
      </c>
      <c r="E14" s="14" t="n">
        <v>590.63</v>
      </c>
      <c r="F14" s="20" t="n">
        <v>25</v>
      </c>
      <c r="G14" s="38" t="n">
        <f aca="false">E14/F14</f>
        <v>23.6252</v>
      </c>
      <c r="H14" s="36" t="s">
        <v>451</v>
      </c>
      <c r="I14" s="2"/>
      <c r="J14" s="6" t="s">
        <v>462</v>
      </c>
      <c r="K14" s="38" t="n">
        <f aca="false">IFERROR(AVERAGEIFS($G$6:$G$119,$D$6:$D$119,$J14,$B$6:$B$119,K$4),"")</f>
        <v>43.98</v>
      </c>
      <c r="L14" s="38" t="n">
        <f aca="false">IFERROR(AVERAGEIFS($G$6:$G$119,$D$6:$D$119,$J14,$B$6:$B$119,L$4),"")</f>
        <v>43.98</v>
      </c>
      <c r="M14" s="38" t="n">
        <f aca="false">IFERROR(AVERAGEIFS($G$6:$G$119,$D$6:$D$119,$J14,$B$6:$B$119,M$4),"")</f>
        <v>25.35</v>
      </c>
      <c r="N14" s="38" t="n">
        <f aca="false">IFERROR(AVERAGEIFS($G$6:$G$119,$D$6:$D$119,$J14,$B$6:$B$119,N$4),"")</f>
        <v>25.35</v>
      </c>
      <c r="O14" s="38" t="n">
        <f aca="false">IFERROR(AVERAGEIFS($G$6:$G$119,$D$6:$D$119,$J14,$B$6:$B$119,O$4),"")</f>
        <v>25.35</v>
      </c>
      <c r="P14" s="38" t="n">
        <f aca="false">IFERROR(AVERAGEIFS($G$6:$G$119,$D$6:$D$119,$J14,$B$6:$B$119,P$4),"")</f>
        <v>25.35</v>
      </c>
      <c r="Q14" s="40" t="n">
        <f aca="false">IF(OR(K14="",P14=""),"",P14/K14-1)</f>
        <v>-0.423601637107776</v>
      </c>
      <c r="R14" s="40" t="n">
        <f aca="false">IF(OR(L14="",M14=""),"",M14/L14-1)</f>
        <v>-0.423601637107776</v>
      </c>
    </row>
    <row r="15" customFormat="false" ht="15" hidden="false" customHeight="false" outlineLevel="0" collapsed="false">
      <c r="A15" s="5" t="s">
        <v>448</v>
      </c>
      <c r="B15" s="28" t="n">
        <v>45933</v>
      </c>
      <c r="C15" s="5" t="s">
        <v>460</v>
      </c>
      <c r="D15" s="5" t="s">
        <v>453</v>
      </c>
      <c r="E15" s="14" t="n">
        <v>590.63</v>
      </c>
      <c r="F15" s="20" t="n">
        <v>25</v>
      </c>
      <c r="G15" s="38" t="n">
        <f aca="false">E15/F15</f>
        <v>23.6252</v>
      </c>
      <c r="H15" s="36" t="s">
        <v>451</v>
      </c>
      <c r="I15" s="2"/>
      <c r="J15" s="6" t="s">
        <v>463</v>
      </c>
      <c r="K15" s="38" t="n">
        <f aca="false">IFERROR(AVERAGEIFS($G$6:$G$119,$D$6:$D$119,$J15,$B$6:$B$119,K$4),"")</f>
        <v>43.98</v>
      </c>
      <c r="L15" s="38" t="n">
        <f aca="false">IFERROR(AVERAGEIFS($G$6:$G$119,$D$6:$D$119,$J15,$B$6:$B$119,L$4),"")</f>
        <v>43.98</v>
      </c>
      <c r="M15" s="38" t="n">
        <f aca="false">IFERROR(AVERAGEIFS($G$6:$G$119,$D$6:$D$119,$J15,$B$6:$B$119,M$4),"")</f>
        <v>43.98</v>
      </c>
      <c r="N15" s="38" t="n">
        <f aca="false">IFERROR(AVERAGEIFS($G$6:$G$119,$D$6:$D$119,$J15,$B$6:$B$119,N$4),"")</f>
        <v>43.98</v>
      </c>
      <c r="O15" s="38" t="n">
        <f aca="false">IFERROR(AVERAGEIFS($G$6:$G$119,$D$6:$D$119,$J15,$B$6:$B$119,O$4),"")</f>
        <v>43.98</v>
      </c>
      <c r="P15" s="38" t="n">
        <f aca="false">IFERROR(AVERAGEIFS($G$6:$G$119,$D$6:$D$119,$J15,$B$6:$B$119,P$4),"")</f>
        <v>43.98</v>
      </c>
      <c r="Q15" s="40" t="n">
        <f aca="false">IF(OR(K15="",P15=""),"",P15/K15-1)</f>
        <v>0</v>
      </c>
      <c r="R15" s="40" t="n">
        <f aca="false">IF(OR(L15="",M15=""),"",M15/L15-1)</f>
        <v>0</v>
      </c>
    </row>
    <row r="16" customFormat="false" ht="15" hidden="false" customHeight="false" outlineLevel="0" collapsed="false">
      <c r="A16" s="5" t="s">
        <v>448</v>
      </c>
      <c r="B16" s="28" t="n">
        <v>46031</v>
      </c>
      <c r="C16" s="5" t="s">
        <v>460</v>
      </c>
      <c r="D16" s="5" t="s">
        <v>453</v>
      </c>
      <c r="E16" s="14" t="n">
        <v>620.16</v>
      </c>
      <c r="F16" s="20" t="n">
        <v>25</v>
      </c>
      <c r="G16" s="38" t="n">
        <f aca="false">E16/F16</f>
        <v>24.8064</v>
      </c>
      <c r="H16" s="36" t="s">
        <v>451</v>
      </c>
      <c r="I16" s="2"/>
      <c r="J16" s="6" t="s">
        <v>464</v>
      </c>
      <c r="K16" s="38" t="n">
        <f aca="false">IFERROR(AVERAGEIFS($G$6:$G$119,$D$6:$D$119,$J16,$B$6:$B$119,K$4),"")</f>
        <v>10.88</v>
      </c>
      <c r="L16" s="38" t="n">
        <f aca="false">IFERROR(AVERAGEIFS($G$6:$G$119,$D$6:$D$119,$J16,$B$6:$B$119,L$4),"")</f>
        <v>10.884</v>
      </c>
      <c r="M16" s="38" t="n">
        <f aca="false">IFERROR(AVERAGEIFS($G$6:$G$119,$D$6:$D$119,$J16,$B$6:$B$119,M$4),"")</f>
        <v>8.1376</v>
      </c>
      <c r="N16" s="38" t="n">
        <f aca="false">IFERROR(AVERAGEIFS($G$6:$G$119,$D$6:$D$119,$J16,$B$6:$B$119,N$4),"")</f>
        <v>8.1376</v>
      </c>
      <c r="O16" s="38" t="n">
        <f aca="false">IFERROR(AVERAGEIFS($G$6:$G$119,$D$6:$D$119,$J16,$B$6:$B$119,O$4),"")</f>
        <v>8.1376</v>
      </c>
      <c r="P16" s="38" t="n">
        <f aca="false">IFERROR(AVERAGEIFS($G$6:$G$119,$D$6:$D$119,$J16,$B$6:$B$119,P$4),"")</f>
        <v>8.1376</v>
      </c>
      <c r="Q16" s="40" t="n">
        <f aca="false">IF(OR(K16="",P16=""),"",P16/K16-1)</f>
        <v>-0.252058823529412</v>
      </c>
      <c r="R16" s="40" t="n">
        <f aca="false">IF(OR(L16="",M16=""),"",M16/L16-1)</f>
        <v>-0.252333700845278</v>
      </c>
    </row>
    <row r="17" customFormat="false" ht="15" hidden="false" customHeight="false" outlineLevel="0" collapsed="false">
      <c r="A17" s="5" t="s">
        <v>448</v>
      </c>
      <c r="B17" s="28" t="n">
        <v>46209</v>
      </c>
      <c r="C17" s="5" t="s">
        <v>460</v>
      </c>
      <c r="D17" s="5" t="s">
        <v>453</v>
      </c>
      <c r="E17" s="14" t="n">
        <v>620.16</v>
      </c>
      <c r="F17" s="20" t="n">
        <v>25</v>
      </c>
      <c r="G17" s="38" t="n">
        <f aca="false">E17/F17</f>
        <v>24.8064</v>
      </c>
      <c r="H17" s="36" t="s">
        <v>451</v>
      </c>
      <c r="I17" s="2"/>
      <c r="J17" s="6" t="s">
        <v>465</v>
      </c>
      <c r="K17" s="38" t="n">
        <f aca="false">IFERROR(AVERAGEIFS($G$6:$G$119,$D$6:$D$119,$J17,$B$6:$B$119,K$4),"")</f>
        <v>10.42</v>
      </c>
      <c r="L17" s="38" t="n">
        <f aca="false">IFERROR(AVERAGEIFS($G$6:$G$119,$D$6:$D$119,$J17,$B$6:$B$119,L$4),"")</f>
        <v>10.4176</v>
      </c>
      <c r="M17" s="38" t="n">
        <f aca="false">IFERROR(AVERAGEIFS($G$6:$G$119,$D$6:$D$119,$J17,$B$6:$B$119,M$4),"")</f>
        <v>10.4176</v>
      </c>
      <c r="N17" s="38" t="n">
        <f aca="false">IFERROR(AVERAGEIFS($G$6:$G$119,$D$6:$D$119,$J17,$B$6:$B$119,N$4),"")</f>
        <v>10.4176</v>
      </c>
      <c r="O17" s="38" t="n">
        <f aca="false">IFERROR(AVERAGEIFS($G$6:$G$119,$D$6:$D$119,$J17,$B$6:$B$119,O$4),"")</f>
        <v>10.4176</v>
      </c>
      <c r="P17" s="38" t="n">
        <f aca="false">IFERROR(AVERAGEIFS($G$6:$G$119,$D$6:$D$119,$J17,$B$6:$B$119,P$4),"")</f>
        <v>10.4176</v>
      </c>
      <c r="Q17" s="40" t="n">
        <f aca="false">IF(OR(K17="",P17=""),"",P17/K17-1)</f>
        <v>-0.000230326295585392</v>
      </c>
      <c r="R17" s="40" t="n">
        <f aca="false">IF(OR(L17="",M17=""),"",M17/L17-1)</f>
        <v>0</v>
      </c>
    </row>
    <row r="18" customFormat="false" ht="15" hidden="false" customHeight="false" outlineLevel="0" collapsed="false">
      <c r="A18" s="5" t="s">
        <v>448</v>
      </c>
      <c r="B18" s="28" t="n">
        <v>45482</v>
      </c>
      <c r="C18" s="5" t="s">
        <v>458</v>
      </c>
      <c r="D18" s="5" t="s">
        <v>454</v>
      </c>
      <c r="E18" s="14" t="n">
        <v>21.42</v>
      </c>
      <c r="F18" s="20" t="n">
        <v>1</v>
      </c>
      <c r="G18" s="38" t="n">
        <f aca="false">E18/F18</f>
        <v>21.42</v>
      </c>
      <c r="H18" s="36" t="s">
        <v>451</v>
      </c>
      <c r="I18" s="2"/>
      <c r="J18" s="6" t="s">
        <v>466</v>
      </c>
      <c r="K18" s="38" t="n">
        <f aca="false">IFERROR(AVERAGEIFS($G$6:$G$119,$D$6:$D$119,$J18,$B$6:$B$119,K$4),"")</f>
        <v>10.42</v>
      </c>
      <c r="L18" s="38" t="n">
        <f aca="false">IFERROR(AVERAGEIFS($G$6:$G$119,$D$6:$D$119,$J18,$B$6:$B$119,L$4),"")</f>
        <v>10.4176</v>
      </c>
      <c r="M18" s="38" t="n">
        <f aca="false">IFERROR(AVERAGEIFS($G$6:$G$119,$D$6:$D$119,$J18,$B$6:$B$119,M$4),"")</f>
        <v>8.5444</v>
      </c>
      <c r="N18" s="38" t="n">
        <f aca="false">IFERROR(AVERAGEIFS($G$6:$G$119,$D$6:$D$119,$J18,$B$6:$B$119,N$4),"")</f>
        <v>8.5444</v>
      </c>
      <c r="O18" s="38" t="n">
        <f aca="false">IFERROR(AVERAGEIFS($G$6:$G$119,$D$6:$D$119,$J18,$B$6:$B$119,O$4),"")</f>
        <v>8.5444</v>
      </c>
      <c r="P18" s="38" t="n">
        <f aca="false">IFERROR(AVERAGEIFS($G$6:$G$119,$D$6:$D$119,$J18,$B$6:$B$119,P$4),"")</f>
        <v>8.5444</v>
      </c>
      <c r="Q18" s="40" t="n">
        <f aca="false">IF(OR(K18="",P18=""),"",P18/K18-1)</f>
        <v>-0.18</v>
      </c>
      <c r="R18" s="40" t="n">
        <f aca="false">IF(OR(L18="",M18=""),"",M18/L18-1)</f>
        <v>-0.179811088926432</v>
      </c>
    </row>
    <row r="19" customFormat="false" ht="15" hidden="false" customHeight="false" outlineLevel="0" collapsed="false">
      <c r="A19" s="5" t="s">
        <v>448</v>
      </c>
      <c r="B19" s="28" t="n">
        <v>45744</v>
      </c>
      <c r="C19" s="5" t="s">
        <v>460</v>
      </c>
      <c r="D19" s="5" t="s">
        <v>454</v>
      </c>
      <c r="E19" s="14" t="n">
        <v>22.92</v>
      </c>
      <c r="F19" s="20" t="n">
        <v>1</v>
      </c>
      <c r="G19" s="38" t="n">
        <f aca="false">E19/F19</f>
        <v>22.92</v>
      </c>
      <c r="H19" s="36" t="s">
        <v>451</v>
      </c>
      <c r="I19" s="2"/>
      <c r="J19" s="6" t="s">
        <v>467</v>
      </c>
      <c r="K19" s="38" t="n">
        <f aca="false">IFERROR(AVERAGEIFS($G$6:$G$119,$D$6:$D$119,$J19,$B$6:$B$119,K$4),"")</f>
        <v>108.86</v>
      </c>
      <c r="L19" s="38" t="n">
        <f aca="false">IFERROR(AVERAGEIFS($G$6:$G$119,$D$6:$D$119,$J19,$B$6:$B$119,L$4),"")</f>
        <v>108.86</v>
      </c>
      <c r="M19" s="38" t="n">
        <f aca="false">IFERROR(AVERAGEIFS($G$6:$G$119,$D$6:$D$119,$J19,$B$6:$B$119,M$4),"")</f>
        <v>108.86</v>
      </c>
      <c r="N19" s="38" t="n">
        <f aca="false">IFERROR(AVERAGEIFS($G$6:$G$119,$D$6:$D$119,$J19,$B$6:$B$119,N$4),"")</f>
        <v>108.86</v>
      </c>
      <c r="O19" s="38" t="n">
        <f aca="false">IFERROR(AVERAGEIFS($G$6:$G$119,$D$6:$D$119,$J19,$B$6:$B$119,O$4),"")</f>
        <v>108.86</v>
      </c>
      <c r="P19" s="38" t="n">
        <f aca="false">IFERROR(AVERAGEIFS($G$6:$G$119,$D$6:$D$119,$J19,$B$6:$B$119,P$4),"")</f>
        <v>108.86</v>
      </c>
      <c r="Q19" s="40" t="n">
        <f aca="false">IF(OR(K19="",P19=""),"",P19/K19-1)</f>
        <v>0</v>
      </c>
      <c r="R19" s="40" t="n">
        <f aca="false">IF(OR(L19="",M19=""),"",M19/L19-1)</f>
        <v>0</v>
      </c>
    </row>
    <row r="20" customFormat="false" ht="15" hidden="false" customHeight="false" outlineLevel="0" collapsed="false">
      <c r="A20" s="5" t="s">
        <v>448</v>
      </c>
      <c r="B20" s="28" t="n">
        <v>45866</v>
      </c>
      <c r="C20" s="5" t="s">
        <v>460</v>
      </c>
      <c r="D20" s="5" t="s">
        <v>454</v>
      </c>
      <c r="E20" s="14" t="n">
        <v>24.07</v>
      </c>
      <c r="F20" s="20" t="n">
        <v>1</v>
      </c>
      <c r="G20" s="38" t="n">
        <f aca="false">E20/F20</f>
        <v>24.07</v>
      </c>
      <c r="H20" s="36" t="s">
        <v>451</v>
      </c>
      <c r="I20" s="2"/>
      <c r="J20" s="6" t="s">
        <v>468</v>
      </c>
      <c r="K20" s="38" t="n">
        <f aca="false">IFERROR(AVERAGEIFS($G$6:$G$119,$D$6:$D$119,$J20,$B$6:$B$119,K$4),"")</f>
        <v>6.76</v>
      </c>
      <c r="L20" s="38" t="n">
        <f aca="false">IFERROR(AVERAGEIFS($G$6:$G$119,$D$6:$D$119,$J20,$B$6:$B$119,L$4),"")</f>
        <v>6.7584</v>
      </c>
      <c r="M20" s="38" t="n">
        <f aca="false">IFERROR(AVERAGEIFS($G$6:$G$119,$D$6:$D$119,$J20,$B$6:$B$119,M$4),"")</f>
        <v>5.1136</v>
      </c>
      <c r="N20" s="38" t="n">
        <f aca="false">IFERROR(AVERAGEIFS($G$6:$G$119,$D$6:$D$119,$J20,$B$6:$B$119,N$4),"")</f>
        <v>5.1136</v>
      </c>
      <c r="O20" s="38" t="n">
        <f aca="false">IFERROR(AVERAGEIFS($G$6:$G$119,$D$6:$D$119,$J20,$B$6:$B$119,O$4),"")</f>
        <v>5.1136</v>
      </c>
      <c r="P20" s="38" t="n">
        <f aca="false">IFERROR(AVERAGEIFS($G$6:$G$119,$D$6:$D$119,$J20,$B$6:$B$119,P$4),"")</f>
        <v>5.1136</v>
      </c>
      <c r="Q20" s="40" t="n">
        <f aca="false">IF(OR(K20="",P20=""),"",P20/K20-1)</f>
        <v>-0.243550295857988</v>
      </c>
      <c r="R20" s="40" t="n">
        <f aca="false">IF(OR(L20="",M20=""),"",M20/L20-1)</f>
        <v>-0.243371212121212</v>
      </c>
    </row>
    <row r="21" customFormat="false" ht="15" hidden="false" customHeight="false" outlineLevel="0" collapsed="false">
      <c r="A21" s="5" t="s">
        <v>448</v>
      </c>
      <c r="B21" s="28" t="n">
        <v>45933</v>
      </c>
      <c r="C21" s="5" t="s">
        <v>460</v>
      </c>
      <c r="D21" s="5" t="s">
        <v>454</v>
      </c>
      <c r="E21" s="14" t="n">
        <v>24.07</v>
      </c>
      <c r="F21" s="20" t="n">
        <v>1</v>
      </c>
      <c r="G21" s="38" t="n">
        <f aca="false">E21/F21</f>
        <v>24.07</v>
      </c>
      <c r="H21" s="36" t="s">
        <v>451</v>
      </c>
      <c r="I21" s="2"/>
      <c r="J21" s="6" t="s">
        <v>469</v>
      </c>
      <c r="K21" s="38" t="n">
        <f aca="false">IFERROR(AVERAGEIFS($G$6:$G$119,$D$6:$D$119,$J21,$B$6:$B$119,K$4),"")</f>
        <v>6.47</v>
      </c>
      <c r="L21" s="38" t="n">
        <f aca="false">IFERROR(AVERAGEIFS($G$6:$G$119,$D$6:$D$119,$J21,$B$6:$B$119,L$4),"")</f>
        <v>6.4688</v>
      </c>
      <c r="M21" s="38" t="n">
        <f aca="false">IFERROR(AVERAGEIFS($G$6:$G$119,$D$6:$D$119,$J21,$B$6:$B$119,M$4),"")</f>
        <v>6.4688</v>
      </c>
      <c r="N21" s="38" t="n">
        <f aca="false">IFERROR(AVERAGEIFS($G$6:$G$119,$D$6:$D$119,$J21,$B$6:$B$119,N$4),"")</f>
        <v>6.4688</v>
      </c>
      <c r="O21" s="38" t="n">
        <f aca="false">IFERROR(AVERAGEIFS($G$6:$G$119,$D$6:$D$119,$J21,$B$6:$B$119,O$4),"")</f>
        <v>6.4688</v>
      </c>
      <c r="P21" s="38" t="n">
        <f aca="false">IFERROR(AVERAGEIFS($G$6:$G$119,$D$6:$D$119,$J21,$B$6:$B$119,P$4),"")</f>
        <v>6.4688</v>
      </c>
      <c r="Q21" s="40" t="n">
        <f aca="false">IF(OR(K21="",P21=""),"",P21/K21-1)</f>
        <v>-0.0001854714064915</v>
      </c>
      <c r="R21" s="40" t="n">
        <f aca="false">IF(OR(L21="",M21=""),"",M21/L21-1)</f>
        <v>0</v>
      </c>
    </row>
    <row r="22" customFormat="false" ht="15" hidden="false" customHeight="false" outlineLevel="0" collapsed="false">
      <c r="A22" s="5" t="s">
        <v>448</v>
      </c>
      <c r="B22" s="28" t="n">
        <v>46031</v>
      </c>
      <c r="C22" s="5" t="s">
        <v>460</v>
      </c>
      <c r="D22" s="5" t="s">
        <v>454</v>
      </c>
      <c r="E22" s="14" t="n">
        <v>25.27</v>
      </c>
      <c r="F22" s="20" t="n">
        <v>1</v>
      </c>
      <c r="G22" s="38" t="n">
        <f aca="false">E22/F22</f>
        <v>25.27</v>
      </c>
      <c r="H22" s="36" t="s">
        <v>451</v>
      </c>
      <c r="I22" s="2"/>
      <c r="J22" s="6" t="s">
        <v>470</v>
      </c>
      <c r="K22" s="38" t="n">
        <f aca="false">IFERROR(AVERAGEIFS($G$6:$G$119,$D$6:$D$119,$J22,$B$6:$B$119,K$4),"")</f>
        <v>6.47</v>
      </c>
      <c r="L22" s="38" t="n">
        <f aca="false">IFERROR(AVERAGEIFS($G$6:$G$119,$D$6:$D$119,$J22,$B$6:$B$119,L$4),"")</f>
        <v>6.4688</v>
      </c>
      <c r="M22" s="38" t="n">
        <f aca="false">IFERROR(AVERAGEIFS($G$6:$G$119,$D$6:$D$119,$J22,$B$6:$B$119,M$4),"")</f>
        <v>5.3692</v>
      </c>
      <c r="N22" s="38" t="n">
        <f aca="false">IFERROR(AVERAGEIFS($G$6:$G$119,$D$6:$D$119,$J22,$B$6:$B$119,N$4),"")</f>
        <v>5.3692</v>
      </c>
      <c r="O22" s="38" t="n">
        <f aca="false">IFERROR(AVERAGEIFS($G$6:$G$119,$D$6:$D$119,$J22,$B$6:$B$119,O$4),"")</f>
        <v>5.3692</v>
      </c>
      <c r="P22" s="38" t="n">
        <f aca="false">IFERROR(AVERAGEIFS($G$6:$G$119,$D$6:$D$119,$J22,$B$6:$B$119,P$4),"")</f>
        <v>5.3692</v>
      </c>
      <c r="Q22" s="40" t="n">
        <f aca="false">IF(OR(K22="",P22=""),"",P22/K22-1)</f>
        <v>-0.170139103554869</v>
      </c>
      <c r="R22" s="40" t="n">
        <f aca="false">IF(OR(L22="",M22=""),"",M22/L22-1)</f>
        <v>-0.169985159534999</v>
      </c>
    </row>
    <row r="23" customFormat="false" ht="15" hidden="false" customHeight="false" outlineLevel="0" collapsed="false">
      <c r="A23" s="5" t="s">
        <v>448</v>
      </c>
      <c r="B23" s="28" t="n">
        <v>46209</v>
      </c>
      <c r="C23" s="5" t="s">
        <v>460</v>
      </c>
      <c r="D23" s="5" t="s">
        <v>454</v>
      </c>
      <c r="E23" s="14" t="n">
        <v>25.27</v>
      </c>
      <c r="F23" s="20" t="n">
        <v>1</v>
      </c>
      <c r="G23" s="38" t="n">
        <f aca="false">E23/F23</f>
        <v>25.27</v>
      </c>
      <c r="H23" s="36" t="s">
        <v>451</v>
      </c>
      <c r="I23" s="2"/>
      <c r="J23" s="6" t="s">
        <v>471</v>
      </c>
      <c r="K23" s="38" t="n">
        <f aca="false">IFERROR(AVERAGEIFS($G$6:$G$119,$D$6:$D$119,$J23,$B$6:$B$119,K$4),"")</f>
        <v>47.38</v>
      </c>
      <c r="L23" s="38" t="n">
        <f aca="false">IFERROR(AVERAGEIFS($G$6:$G$119,$D$6:$D$119,$J23,$B$6:$B$119,L$4),"")</f>
        <v>47.38</v>
      </c>
      <c r="M23" s="38" t="n">
        <f aca="false">IFERROR(AVERAGEIFS($G$6:$G$119,$D$6:$D$119,$J23,$B$6:$B$119,M$4),"")</f>
        <v>47.38</v>
      </c>
      <c r="N23" s="38" t="n">
        <f aca="false">IFERROR(AVERAGEIFS($G$6:$G$119,$D$6:$D$119,$J23,$B$6:$B$119,N$4),"")</f>
        <v>47.38</v>
      </c>
      <c r="O23" s="38" t="n">
        <f aca="false">IFERROR(AVERAGEIFS($G$6:$G$119,$D$6:$D$119,$J23,$B$6:$B$119,O$4),"")</f>
        <v>47.38</v>
      </c>
      <c r="P23" s="38" t="n">
        <f aca="false">IFERROR(AVERAGEIFS($G$6:$G$119,$D$6:$D$119,$J23,$B$6:$B$119,P$4),"")</f>
        <v>47.38</v>
      </c>
      <c r="Q23" s="40" t="n">
        <f aca="false">IF(OR(K23="",P23=""),"",P23/K23-1)</f>
        <v>0</v>
      </c>
      <c r="R23" s="40" t="n">
        <f aca="false">IF(OR(L23="",M23=""),"",M23/L23-1)</f>
        <v>0</v>
      </c>
    </row>
    <row r="24" customFormat="false" ht="15" hidden="false" customHeight="false" outlineLevel="0" collapsed="false">
      <c r="A24" s="5" t="s">
        <v>448</v>
      </c>
      <c r="B24" s="28" t="n">
        <v>45482</v>
      </c>
      <c r="C24" s="5" t="s">
        <v>472</v>
      </c>
      <c r="D24" s="5" t="s">
        <v>455</v>
      </c>
      <c r="E24" s="14" t="n">
        <v>15.86</v>
      </c>
      <c r="F24" s="20" t="n">
        <v>1</v>
      </c>
      <c r="G24" s="38" t="n">
        <f aca="false">E24/F24</f>
        <v>15.86</v>
      </c>
      <c r="H24" s="36" t="s">
        <v>451</v>
      </c>
      <c r="I24" s="2"/>
      <c r="J24" s="6" t="s">
        <v>473</v>
      </c>
      <c r="K24" s="38" t="n">
        <f aca="false">IFERROR(AVERAGEIFS($G$6:$G$119,$D$6:$D$119,$J24,$B$6:$B$119,K$4),"")</f>
        <v>24.28</v>
      </c>
      <c r="L24" s="38" t="n">
        <f aca="false">IFERROR(AVERAGEIFS($G$6:$G$119,$D$6:$D$119,$J24,$B$6:$B$119,L$4),"")</f>
        <v>24.28</v>
      </c>
      <c r="M24" s="38" t="n">
        <f aca="false">IFERROR(AVERAGEIFS($G$6:$G$119,$D$6:$D$119,$J24,$B$6:$B$119,M$4),"")</f>
        <v>24.28</v>
      </c>
      <c r="N24" s="38" t="n">
        <f aca="false">IFERROR(AVERAGEIFS($G$6:$G$119,$D$6:$D$119,$J24,$B$6:$B$119,N$4),"")</f>
        <v>24.28</v>
      </c>
      <c r="O24" s="38" t="n">
        <f aca="false">IFERROR(AVERAGEIFS($G$6:$G$119,$D$6:$D$119,$J24,$B$6:$B$119,O$4),"")</f>
        <v>24.28</v>
      </c>
      <c r="P24" s="38" t="n">
        <f aca="false">IFERROR(AVERAGEIFS($G$6:$G$119,$D$6:$D$119,$J24,$B$6:$B$119,P$4),"")</f>
        <v>24.28</v>
      </c>
      <c r="Q24" s="40" t="n">
        <f aca="false">IF(OR(K24="",P24=""),"",P24/K24-1)</f>
        <v>0</v>
      </c>
      <c r="R24" s="40" t="n">
        <f aca="false">IF(OR(L24="",M24=""),"",M24/L24-1)</f>
        <v>0</v>
      </c>
    </row>
    <row r="25" customFormat="false" ht="15" hidden="false" customHeight="false" outlineLevel="0" collapsed="false">
      <c r="A25" s="5" t="s">
        <v>448</v>
      </c>
      <c r="B25" s="28" t="n">
        <v>45744</v>
      </c>
      <c r="C25" s="5" t="s">
        <v>474</v>
      </c>
      <c r="D25" s="5" t="s">
        <v>455</v>
      </c>
      <c r="E25" s="14" t="n">
        <v>18.24</v>
      </c>
      <c r="F25" s="20" t="n">
        <v>1</v>
      </c>
      <c r="G25" s="38" t="n">
        <f aca="false">E25/F25</f>
        <v>18.24</v>
      </c>
      <c r="H25" s="36" t="s">
        <v>451</v>
      </c>
      <c r="I25" s="2"/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5" hidden="false" customHeight="false" outlineLevel="0" collapsed="false">
      <c r="A26" s="5" t="s">
        <v>448</v>
      </c>
      <c r="B26" s="28" t="n">
        <v>45866</v>
      </c>
      <c r="C26" s="5" t="s">
        <v>474</v>
      </c>
      <c r="D26" s="5" t="s">
        <v>455</v>
      </c>
      <c r="E26" s="14" t="n">
        <v>19.15</v>
      </c>
      <c r="F26" s="20" t="n">
        <v>1</v>
      </c>
      <c r="G26" s="38" t="n">
        <f aca="false">E26/F26</f>
        <v>19.15</v>
      </c>
      <c r="H26" s="36" t="s">
        <v>451</v>
      </c>
      <c r="I26" s="2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5" hidden="false" customHeight="false" outlineLevel="0" collapsed="false">
      <c r="A27" s="5" t="s">
        <v>448</v>
      </c>
      <c r="B27" s="28" t="n">
        <v>45933</v>
      </c>
      <c r="C27" s="5" t="s">
        <v>474</v>
      </c>
      <c r="D27" s="5" t="s">
        <v>455</v>
      </c>
      <c r="E27" s="14" t="n">
        <v>19.15</v>
      </c>
      <c r="F27" s="20" t="n">
        <v>1</v>
      </c>
      <c r="G27" s="38" t="n">
        <f aca="false">E27/F27</f>
        <v>19.15</v>
      </c>
      <c r="H27" s="36" t="s">
        <v>451</v>
      </c>
      <c r="I27" s="2"/>
      <c r="J27" s="4" t="s">
        <v>475</v>
      </c>
      <c r="K27" s="2"/>
      <c r="L27" s="2"/>
      <c r="M27" s="2"/>
      <c r="N27" s="2"/>
      <c r="O27" s="2"/>
      <c r="P27" s="2"/>
      <c r="Q27" s="2"/>
      <c r="R27" s="2"/>
    </row>
    <row r="28" customFormat="false" ht="23.85" hidden="false" customHeight="false" outlineLevel="0" collapsed="false">
      <c r="A28" s="5" t="s">
        <v>448</v>
      </c>
      <c r="B28" s="28" t="n">
        <v>46031</v>
      </c>
      <c r="C28" s="5" t="s">
        <v>474</v>
      </c>
      <c r="D28" s="5" t="s">
        <v>455</v>
      </c>
      <c r="E28" s="14" t="n">
        <v>20.11</v>
      </c>
      <c r="F28" s="20" t="n">
        <v>1</v>
      </c>
      <c r="G28" s="38" t="n">
        <f aca="false">E28/F28</f>
        <v>20.11</v>
      </c>
      <c r="H28" s="36" t="s">
        <v>451</v>
      </c>
      <c r="I28" s="2"/>
      <c r="J28" s="10" t="s">
        <v>420</v>
      </c>
      <c r="K28" s="10" t="s">
        <v>151</v>
      </c>
      <c r="L28" s="10" t="s">
        <v>476</v>
      </c>
      <c r="M28" s="2"/>
      <c r="N28" s="2"/>
      <c r="O28" s="2"/>
      <c r="P28" s="2"/>
      <c r="Q28" s="2"/>
      <c r="R28" s="2"/>
    </row>
    <row r="29" customFormat="false" ht="15" hidden="false" customHeight="false" outlineLevel="0" collapsed="false">
      <c r="A29" s="5" t="s">
        <v>448</v>
      </c>
      <c r="B29" s="28" t="n">
        <v>46209</v>
      </c>
      <c r="C29" s="5" t="s">
        <v>474</v>
      </c>
      <c r="D29" s="5" t="s">
        <v>455</v>
      </c>
      <c r="E29" s="14" t="n">
        <v>20.11</v>
      </c>
      <c r="F29" s="20" t="n">
        <v>1</v>
      </c>
      <c r="G29" s="38" t="n">
        <f aca="false">E29/F29</f>
        <v>20.11</v>
      </c>
      <c r="H29" s="36" t="s">
        <v>451</v>
      </c>
      <c r="I29" s="2"/>
      <c r="J29" s="6" t="s">
        <v>477</v>
      </c>
      <c r="K29" s="40" t="n">
        <f aca="false">MIN(Q9,Q8,Q11,Q12,Q6)</f>
        <v>0.179738562091503</v>
      </c>
      <c r="L29" s="39" t="s">
        <v>478</v>
      </c>
      <c r="M29" s="2"/>
      <c r="N29" s="2"/>
      <c r="O29" s="2"/>
      <c r="P29" s="2"/>
      <c r="Q29" s="2"/>
      <c r="R29" s="2"/>
    </row>
    <row r="30" customFormat="false" ht="15" hidden="false" customHeight="false" outlineLevel="0" collapsed="false">
      <c r="A30" s="5" t="s">
        <v>448</v>
      </c>
      <c r="B30" s="28" t="n">
        <v>45482</v>
      </c>
      <c r="C30" s="5" t="s">
        <v>479</v>
      </c>
      <c r="D30" s="5" t="s">
        <v>456</v>
      </c>
      <c r="E30" s="14" t="n">
        <v>39.64</v>
      </c>
      <c r="F30" s="20" t="n">
        <v>1</v>
      </c>
      <c r="G30" s="38" t="n">
        <f aca="false">E30/F30</f>
        <v>39.64</v>
      </c>
      <c r="H30" s="36" t="s">
        <v>451</v>
      </c>
      <c r="I30" s="2"/>
      <c r="J30" s="6" t="s">
        <v>480</v>
      </c>
      <c r="K30" s="40" t="n">
        <f aca="false">MAX(Q9,Q8,Q11,Q12,Q6)</f>
        <v>0.291876892028254</v>
      </c>
      <c r="L30" s="39" t="s">
        <v>481</v>
      </c>
      <c r="M30" s="2"/>
      <c r="N30" s="2"/>
      <c r="O30" s="2"/>
      <c r="P30" s="2"/>
      <c r="Q30" s="2"/>
      <c r="R30" s="2"/>
    </row>
    <row r="31" customFormat="false" ht="15" hidden="false" customHeight="false" outlineLevel="0" collapsed="false">
      <c r="A31" s="5" t="s">
        <v>448</v>
      </c>
      <c r="B31" s="28" t="n">
        <v>45744</v>
      </c>
      <c r="C31" s="5" t="s">
        <v>482</v>
      </c>
      <c r="D31" s="5" t="s">
        <v>456</v>
      </c>
      <c r="E31" s="14" t="n">
        <v>1040.43</v>
      </c>
      <c r="F31" s="20" t="n">
        <v>25</v>
      </c>
      <c r="G31" s="38" t="n">
        <f aca="false">E31/F31</f>
        <v>41.6172</v>
      </c>
      <c r="H31" s="36" t="s">
        <v>451</v>
      </c>
      <c r="I31" s="2"/>
      <c r="J31" s="6" t="s">
        <v>483</v>
      </c>
      <c r="K31" s="40" t="n">
        <f aca="false">MIN(Q7,Q10)</f>
        <v>0.157554829678022</v>
      </c>
      <c r="L31" s="39" t="s">
        <v>484</v>
      </c>
      <c r="M31" s="2"/>
      <c r="N31" s="2"/>
      <c r="O31" s="2"/>
      <c r="P31" s="2"/>
      <c r="Q31" s="2"/>
      <c r="R31" s="2"/>
    </row>
    <row r="32" customFormat="false" ht="15" hidden="false" customHeight="false" outlineLevel="0" collapsed="false">
      <c r="A32" s="5" t="s">
        <v>448</v>
      </c>
      <c r="B32" s="28" t="n">
        <v>45866</v>
      </c>
      <c r="C32" s="5" t="s">
        <v>482</v>
      </c>
      <c r="D32" s="5" t="s">
        <v>456</v>
      </c>
      <c r="E32" s="14" t="n">
        <v>1092.45</v>
      </c>
      <c r="F32" s="20" t="n">
        <v>25</v>
      </c>
      <c r="G32" s="38" t="n">
        <f aca="false">E32/F32</f>
        <v>43.698</v>
      </c>
      <c r="H32" s="36" t="s">
        <v>451</v>
      </c>
      <c r="I32" s="2"/>
      <c r="J32" s="6" t="s">
        <v>485</v>
      </c>
      <c r="K32" s="40" t="n">
        <f aca="false">MIN(R13:R24)</f>
        <v>-0.423601637107776</v>
      </c>
      <c r="L32" s="39" t="s">
        <v>486</v>
      </c>
      <c r="M32" s="2"/>
      <c r="N32" s="2"/>
      <c r="O32" s="2"/>
      <c r="P32" s="2"/>
      <c r="Q32" s="2"/>
      <c r="R32" s="2"/>
    </row>
    <row r="33" customFormat="false" ht="15" hidden="false" customHeight="false" outlineLevel="0" collapsed="false">
      <c r="A33" s="5" t="s">
        <v>448</v>
      </c>
      <c r="B33" s="28" t="n">
        <v>45933</v>
      </c>
      <c r="C33" s="5" t="s">
        <v>482</v>
      </c>
      <c r="D33" s="5" t="s">
        <v>456</v>
      </c>
      <c r="E33" s="14" t="n">
        <v>1092.45</v>
      </c>
      <c r="F33" s="20" t="n">
        <v>25</v>
      </c>
      <c r="G33" s="38" t="n">
        <f aca="false">E33/F33</f>
        <v>43.698</v>
      </c>
      <c r="H33" s="36" t="s">
        <v>451</v>
      </c>
      <c r="I33" s="2"/>
      <c r="J33" s="6" t="s">
        <v>487</v>
      </c>
      <c r="K33" s="40" t="n">
        <f aca="false">_xlfn.MAXIFS(R13:R24,R13:R24,"&lt;0")</f>
        <v>-0.169985159534999</v>
      </c>
      <c r="L33" s="39" t="s">
        <v>488</v>
      </c>
      <c r="M33" s="2"/>
      <c r="N33" s="2"/>
      <c r="O33" s="2"/>
      <c r="P33" s="2"/>
      <c r="Q33" s="2"/>
      <c r="R33" s="2"/>
    </row>
    <row r="34" customFormat="false" ht="15" hidden="false" customHeight="false" outlineLevel="0" collapsed="false">
      <c r="A34" s="5" t="s">
        <v>448</v>
      </c>
      <c r="B34" s="28" t="n">
        <v>46031</v>
      </c>
      <c r="C34" s="5" t="s">
        <v>482</v>
      </c>
      <c r="D34" s="5" t="s">
        <v>456</v>
      </c>
      <c r="E34" s="14" t="n">
        <v>1201.7</v>
      </c>
      <c r="F34" s="20" t="n">
        <v>25</v>
      </c>
      <c r="G34" s="38" t="n">
        <f aca="false">E34/F34</f>
        <v>48.068</v>
      </c>
      <c r="H34" s="36" t="s">
        <v>451</v>
      </c>
      <c r="I34" s="2"/>
      <c r="J34" s="6" t="s">
        <v>489</v>
      </c>
      <c r="K34" s="42" t="n">
        <f aca="false">COUNTIF(R13:R24,"&lt;0")</f>
        <v>5</v>
      </c>
      <c r="L34" s="39" t="s">
        <v>490</v>
      </c>
      <c r="M34" s="2"/>
      <c r="N34" s="2"/>
      <c r="O34" s="2"/>
      <c r="P34" s="2"/>
      <c r="Q34" s="2"/>
      <c r="R34" s="2"/>
    </row>
    <row r="35" customFormat="false" ht="15" hidden="false" customHeight="false" outlineLevel="0" collapsed="false">
      <c r="A35" s="5" t="s">
        <v>448</v>
      </c>
      <c r="B35" s="28" t="n">
        <v>46209</v>
      </c>
      <c r="C35" s="5" t="s">
        <v>482</v>
      </c>
      <c r="D35" s="5" t="s">
        <v>456</v>
      </c>
      <c r="E35" s="14" t="n">
        <v>1201.7</v>
      </c>
      <c r="F35" s="20" t="n">
        <v>25</v>
      </c>
      <c r="G35" s="38" t="n">
        <f aca="false">E35/F35</f>
        <v>48.068</v>
      </c>
      <c r="H35" s="36" t="s">
        <v>451</v>
      </c>
      <c r="I35" s="2"/>
      <c r="J35" s="6" t="s">
        <v>491</v>
      </c>
      <c r="K35" s="40" t="n">
        <f aca="false">R20</f>
        <v>-0.243371212121212</v>
      </c>
      <c r="L35" s="39" t="s">
        <v>492</v>
      </c>
      <c r="M35" s="2"/>
      <c r="N35" s="2"/>
      <c r="O35" s="2"/>
      <c r="P35" s="2"/>
      <c r="Q35" s="2"/>
      <c r="R35" s="2"/>
    </row>
    <row r="36" customFormat="false" ht="15" hidden="false" customHeight="false" outlineLevel="0" collapsed="false">
      <c r="A36" s="5" t="s">
        <v>448</v>
      </c>
      <c r="B36" s="28" t="n">
        <v>45482</v>
      </c>
      <c r="C36" s="5" t="s">
        <v>479</v>
      </c>
      <c r="D36" s="5" t="s">
        <v>457</v>
      </c>
      <c r="E36" s="14" t="n">
        <v>39.64</v>
      </c>
      <c r="F36" s="20" t="n">
        <v>1</v>
      </c>
      <c r="G36" s="38" t="n">
        <f aca="false">E36/F36</f>
        <v>39.64</v>
      </c>
      <c r="H36" s="36" t="s">
        <v>451</v>
      </c>
      <c r="I36" s="2"/>
      <c r="J36" s="6" t="s">
        <v>493</v>
      </c>
      <c r="K36" s="40" t="n">
        <f aca="false">R22</f>
        <v>-0.169985159534999</v>
      </c>
      <c r="L36" s="39" t="s">
        <v>492</v>
      </c>
      <c r="M36" s="2"/>
      <c r="N36" s="2"/>
      <c r="O36" s="2"/>
      <c r="P36" s="2"/>
      <c r="Q36" s="2"/>
      <c r="R36" s="2"/>
    </row>
    <row r="37" customFormat="false" ht="15" hidden="false" customHeight="false" outlineLevel="0" collapsed="false">
      <c r="A37" s="5" t="s">
        <v>448</v>
      </c>
      <c r="B37" s="28" t="n">
        <v>45744</v>
      </c>
      <c r="C37" s="5" t="s">
        <v>482</v>
      </c>
      <c r="D37" s="5" t="s">
        <v>457</v>
      </c>
      <c r="E37" s="14" t="n">
        <v>42.41</v>
      </c>
      <c r="F37" s="20" t="n">
        <v>1</v>
      </c>
      <c r="G37" s="38" t="n">
        <f aca="false">E37/F37</f>
        <v>42.41</v>
      </c>
      <c r="H37" s="36" t="s">
        <v>451</v>
      </c>
      <c r="I37" s="2"/>
      <c r="J37" s="6" t="s">
        <v>494</v>
      </c>
      <c r="K37" s="40" t="n">
        <f aca="false">R16</f>
        <v>-0.252333700845278</v>
      </c>
      <c r="L37" s="39" t="s">
        <v>492</v>
      </c>
      <c r="M37" s="2"/>
      <c r="N37" s="2"/>
      <c r="O37" s="2"/>
      <c r="P37" s="2"/>
      <c r="Q37" s="2"/>
      <c r="R37" s="2"/>
    </row>
    <row r="38" customFormat="false" ht="15" hidden="false" customHeight="false" outlineLevel="0" collapsed="false">
      <c r="A38" s="5" t="s">
        <v>448</v>
      </c>
      <c r="B38" s="28" t="n">
        <v>45866</v>
      </c>
      <c r="C38" s="5" t="s">
        <v>482</v>
      </c>
      <c r="D38" s="5" t="s">
        <v>457</v>
      </c>
      <c r="E38" s="14" t="n">
        <v>44.53</v>
      </c>
      <c r="F38" s="20" t="n">
        <v>1</v>
      </c>
      <c r="G38" s="38" t="n">
        <f aca="false">E38/F38</f>
        <v>44.53</v>
      </c>
      <c r="H38" s="36" t="s">
        <v>451</v>
      </c>
      <c r="I38" s="2"/>
      <c r="J38" s="6" t="s">
        <v>495</v>
      </c>
      <c r="K38" s="40" t="n">
        <f aca="false">R18</f>
        <v>-0.179811088926432</v>
      </c>
      <c r="L38" s="39" t="s">
        <v>492</v>
      </c>
      <c r="M38" s="2"/>
      <c r="N38" s="2"/>
      <c r="O38" s="2"/>
      <c r="P38" s="2"/>
      <c r="Q38" s="2"/>
      <c r="R38" s="2"/>
    </row>
    <row r="39" customFormat="false" ht="15" hidden="false" customHeight="false" outlineLevel="0" collapsed="false">
      <c r="A39" s="5" t="s">
        <v>448</v>
      </c>
      <c r="B39" s="28" t="n">
        <v>45933</v>
      </c>
      <c r="C39" s="5" t="s">
        <v>482</v>
      </c>
      <c r="D39" s="5" t="s">
        <v>457</v>
      </c>
      <c r="E39" s="14" t="n">
        <v>44.53</v>
      </c>
      <c r="F39" s="20" t="n">
        <v>1</v>
      </c>
      <c r="G39" s="38" t="n">
        <f aca="false">E39/F39</f>
        <v>44.53</v>
      </c>
      <c r="H39" s="36" t="s">
        <v>451</v>
      </c>
      <c r="I39" s="2"/>
      <c r="J39" s="6" t="s">
        <v>496</v>
      </c>
      <c r="K39" s="40" t="n">
        <f aca="false">R14</f>
        <v>-0.423601637107776</v>
      </c>
      <c r="L39" s="39" t="s">
        <v>492</v>
      </c>
      <c r="M39" s="2"/>
      <c r="N39" s="2"/>
      <c r="O39" s="2"/>
      <c r="P39" s="2"/>
      <c r="Q39" s="2"/>
      <c r="R39" s="2"/>
    </row>
    <row r="40" customFormat="false" ht="15" hidden="false" customHeight="false" outlineLevel="0" collapsed="false">
      <c r="A40" s="5" t="s">
        <v>448</v>
      </c>
      <c r="B40" s="28" t="n">
        <v>46031</v>
      </c>
      <c r="C40" s="5" t="s">
        <v>482</v>
      </c>
      <c r="D40" s="5" t="s">
        <v>457</v>
      </c>
      <c r="E40" s="14" t="n">
        <v>51.21</v>
      </c>
      <c r="F40" s="20" t="n">
        <v>1</v>
      </c>
      <c r="G40" s="38" t="n">
        <f aca="false">E40/F40</f>
        <v>51.21</v>
      </c>
      <c r="H40" s="36" t="s">
        <v>451</v>
      </c>
      <c r="I40" s="2"/>
      <c r="J40" s="6" t="s">
        <v>497</v>
      </c>
      <c r="K40" s="15" t="n">
        <f aca="false">ASP_growth!$I$11/P8</f>
        <v>0.864213662258924</v>
      </c>
      <c r="L40" s="39" t="s">
        <v>498</v>
      </c>
      <c r="M40" s="2"/>
      <c r="N40" s="2"/>
      <c r="O40" s="2"/>
      <c r="P40" s="2"/>
      <c r="Q40" s="2"/>
      <c r="R40" s="2"/>
    </row>
    <row r="41" customFormat="false" ht="15" hidden="false" customHeight="false" outlineLevel="0" collapsed="false">
      <c r="A41" s="5" t="s">
        <v>448</v>
      </c>
      <c r="B41" s="28" t="n">
        <v>46209</v>
      </c>
      <c r="C41" s="5" t="s">
        <v>482</v>
      </c>
      <c r="D41" s="5" t="s">
        <v>457</v>
      </c>
      <c r="E41" s="14" t="n">
        <v>51.21</v>
      </c>
      <c r="F41" s="20" t="n">
        <v>1</v>
      </c>
      <c r="G41" s="38" t="n">
        <f aca="false">E41/F41</f>
        <v>51.21</v>
      </c>
      <c r="H41" s="36" t="s">
        <v>451</v>
      </c>
      <c r="I41" s="2"/>
      <c r="J41" s="6" t="s">
        <v>499</v>
      </c>
      <c r="K41" s="15" t="n">
        <f aca="false">ASP_growth!$I$11/P9</f>
        <v>1.08596117579727</v>
      </c>
      <c r="L41" s="39" t="s">
        <v>498</v>
      </c>
      <c r="M41" s="2"/>
      <c r="N41" s="2"/>
      <c r="O41" s="2"/>
      <c r="P41" s="2"/>
      <c r="Q41" s="2"/>
      <c r="R41" s="2"/>
    </row>
    <row r="42" customFormat="false" ht="15" hidden="false" customHeight="false" outlineLevel="0" collapsed="false">
      <c r="A42" s="5" t="s">
        <v>448</v>
      </c>
      <c r="B42" s="28" t="n">
        <v>45482</v>
      </c>
      <c r="C42" s="5" t="s">
        <v>500</v>
      </c>
      <c r="D42" s="5" t="s">
        <v>459</v>
      </c>
      <c r="E42" s="14" t="n">
        <v>79.31</v>
      </c>
      <c r="F42" s="20" t="n">
        <v>1</v>
      </c>
      <c r="G42" s="38" t="n">
        <f aca="false">E42/F42</f>
        <v>79.31</v>
      </c>
      <c r="H42" s="36" t="s">
        <v>451</v>
      </c>
      <c r="I42" s="2"/>
      <c r="J42" s="6" t="s">
        <v>501</v>
      </c>
      <c r="K42" s="15" t="n">
        <f aca="false">ASP_growth!$I$12/P11</f>
        <v>1.06613353081835</v>
      </c>
      <c r="L42" s="39" t="s">
        <v>502</v>
      </c>
      <c r="M42" s="2"/>
      <c r="N42" s="2"/>
      <c r="O42" s="2"/>
      <c r="P42" s="2"/>
      <c r="Q42" s="2"/>
      <c r="R42" s="2"/>
    </row>
    <row r="43" customFormat="false" ht="15" hidden="false" customHeight="false" outlineLevel="0" collapsed="false">
      <c r="A43" s="5" t="s">
        <v>448</v>
      </c>
      <c r="B43" s="28" t="n">
        <v>45744</v>
      </c>
      <c r="C43" s="5" t="s">
        <v>503</v>
      </c>
      <c r="D43" s="5" t="s">
        <v>459</v>
      </c>
      <c r="E43" s="14" t="n">
        <v>83.28</v>
      </c>
      <c r="F43" s="20" t="n">
        <v>1</v>
      </c>
      <c r="G43" s="38" t="n">
        <f aca="false">E43/F43</f>
        <v>83.28</v>
      </c>
      <c r="H43" s="36" t="s">
        <v>451</v>
      </c>
      <c r="I43" s="2"/>
      <c r="J43" s="6" t="s">
        <v>504</v>
      </c>
      <c r="K43" s="15" t="n">
        <f aca="false">ASP_growth!$I$14/P12</f>
        <v>1.08585318443134</v>
      </c>
      <c r="L43" s="39" t="s">
        <v>502</v>
      </c>
      <c r="M43" s="2"/>
      <c r="N43" s="2"/>
      <c r="O43" s="2"/>
      <c r="P43" s="2"/>
      <c r="Q43" s="2"/>
      <c r="R43" s="2"/>
    </row>
    <row r="44" customFormat="false" ht="15" hidden="false" customHeight="false" outlineLevel="0" collapsed="false">
      <c r="A44" s="5" t="s">
        <v>448</v>
      </c>
      <c r="B44" s="28" t="n">
        <v>45866</v>
      </c>
      <c r="C44" s="5" t="s">
        <v>503</v>
      </c>
      <c r="D44" s="5" t="s">
        <v>459</v>
      </c>
      <c r="E44" s="14" t="n">
        <v>87.44</v>
      </c>
      <c r="F44" s="20" t="n">
        <v>1</v>
      </c>
      <c r="G44" s="38" t="n">
        <f aca="false">E44/F44</f>
        <v>87.44</v>
      </c>
      <c r="H44" s="36" t="s">
        <v>451</v>
      </c>
      <c r="I44" s="2"/>
      <c r="J44" s="6" t="s">
        <v>101</v>
      </c>
      <c r="K44" s="15" t="n">
        <f aca="false">ASP_growth!$I$15/P6</f>
        <v>1.08623124821104</v>
      </c>
      <c r="L44" s="39" t="s">
        <v>502</v>
      </c>
      <c r="M44" s="2"/>
      <c r="N44" s="2"/>
      <c r="O44" s="2"/>
      <c r="P44" s="2"/>
      <c r="Q44" s="2"/>
      <c r="R44" s="2"/>
    </row>
    <row r="45" customFormat="false" ht="15" hidden="false" customHeight="false" outlineLevel="0" collapsed="false">
      <c r="A45" s="5" t="s">
        <v>448</v>
      </c>
      <c r="B45" s="28" t="n">
        <v>45933</v>
      </c>
      <c r="C45" s="5" t="s">
        <v>503</v>
      </c>
      <c r="D45" s="5" t="s">
        <v>459</v>
      </c>
      <c r="E45" s="14" t="n">
        <v>87.44</v>
      </c>
      <c r="F45" s="20" t="n">
        <v>1</v>
      </c>
      <c r="G45" s="38" t="n">
        <f aca="false">E45/F45</f>
        <v>87.44</v>
      </c>
      <c r="H45" s="36" t="s">
        <v>451</v>
      </c>
      <c r="I45" s="2"/>
      <c r="J45" s="6" t="s">
        <v>505</v>
      </c>
      <c r="K45" s="43" t="n">
        <f aca="false">P11/P9</f>
        <v>2.54649428145201</v>
      </c>
      <c r="L45" s="39" t="s">
        <v>506</v>
      </c>
      <c r="M45" s="2"/>
      <c r="N45" s="2"/>
      <c r="O45" s="2"/>
      <c r="P45" s="2"/>
      <c r="Q45" s="2"/>
      <c r="R45" s="2"/>
    </row>
    <row r="46" customFormat="false" ht="15" hidden="false" customHeight="false" outlineLevel="0" collapsed="false">
      <c r="A46" s="5" t="s">
        <v>448</v>
      </c>
      <c r="B46" s="28" t="n">
        <v>46031</v>
      </c>
      <c r="C46" s="5" t="s">
        <v>503</v>
      </c>
      <c r="D46" s="5" t="s">
        <v>459</v>
      </c>
      <c r="E46" s="14" t="n">
        <v>100.56</v>
      </c>
      <c r="F46" s="20" t="n">
        <v>1</v>
      </c>
      <c r="G46" s="38" t="n">
        <f aca="false">E46/F46</f>
        <v>100.56</v>
      </c>
      <c r="H46" s="36" t="s">
        <v>451</v>
      </c>
      <c r="I46" s="2"/>
      <c r="J46" s="6" t="s">
        <v>507</v>
      </c>
      <c r="K46" s="43" t="n">
        <f aca="false">P6/P9</f>
        <v>9.99751367478866</v>
      </c>
      <c r="L46" s="39" t="s">
        <v>506</v>
      </c>
      <c r="M46" s="2"/>
      <c r="N46" s="2"/>
      <c r="O46" s="2"/>
      <c r="P46" s="2"/>
      <c r="Q46" s="2"/>
      <c r="R46" s="2"/>
    </row>
    <row r="47" customFormat="false" ht="15" hidden="false" customHeight="false" outlineLevel="0" collapsed="false">
      <c r="A47" s="5" t="s">
        <v>448</v>
      </c>
      <c r="B47" s="28" t="n">
        <v>46209</v>
      </c>
      <c r="C47" s="5" t="s">
        <v>503</v>
      </c>
      <c r="D47" s="5" t="s">
        <v>459</v>
      </c>
      <c r="E47" s="14" t="n">
        <v>100.56</v>
      </c>
      <c r="F47" s="20" t="n">
        <v>1</v>
      </c>
      <c r="G47" s="38" t="n">
        <f aca="false">E47/F47</f>
        <v>100.56</v>
      </c>
      <c r="H47" s="36" t="s">
        <v>451</v>
      </c>
      <c r="I47" s="2"/>
      <c r="J47" s="2"/>
      <c r="K47" s="2"/>
      <c r="L47" s="2"/>
      <c r="M47" s="2"/>
      <c r="N47" s="2"/>
      <c r="O47" s="2"/>
      <c r="P47" s="2"/>
      <c r="Q47" s="2"/>
      <c r="R47" s="2"/>
    </row>
    <row r="48" customFormat="false" ht="15" hidden="false" customHeight="false" outlineLevel="0" collapsed="false">
      <c r="A48" s="5" t="s">
        <v>508</v>
      </c>
      <c r="B48" s="28" t="n">
        <v>45482</v>
      </c>
      <c r="C48" s="5" t="s">
        <v>509</v>
      </c>
      <c r="D48" s="5" t="s">
        <v>461</v>
      </c>
      <c r="E48" s="14" t="n">
        <v>68.92</v>
      </c>
      <c r="F48" s="20" t="n">
        <v>1</v>
      </c>
      <c r="G48" s="38" t="n">
        <f aca="false">E48/F48</f>
        <v>68.92</v>
      </c>
      <c r="H48" s="36" t="s">
        <v>451</v>
      </c>
      <c r="I48" s="2"/>
      <c r="J48" s="2"/>
      <c r="K48" s="2"/>
      <c r="L48" s="2"/>
      <c r="M48" s="2"/>
      <c r="N48" s="2"/>
      <c r="O48" s="2"/>
      <c r="P48" s="2"/>
      <c r="Q48" s="2"/>
      <c r="R48" s="2"/>
    </row>
    <row r="49" customFormat="false" ht="15" hidden="false" customHeight="false" outlineLevel="0" collapsed="false">
      <c r="A49" s="5" t="s">
        <v>508</v>
      </c>
      <c r="B49" s="28" t="n">
        <v>45744</v>
      </c>
      <c r="C49" s="5" t="s">
        <v>510</v>
      </c>
      <c r="D49" s="5" t="s">
        <v>461</v>
      </c>
      <c r="E49" s="14" t="n">
        <v>68.92</v>
      </c>
      <c r="F49" s="20" t="n">
        <v>1</v>
      </c>
      <c r="G49" s="38" t="n">
        <f aca="false">E49/F49</f>
        <v>68.92</v>
      </c>
      <c r="H49" s="36" t="s">
        <v>451</v>
      </c>
      <c r="I49" s="2"/>
      <c r="J49" s="2"/>
      <c r="K49" s="2"/>
      <c r="L49" s="2"/>
      <c r="M49" s="2"/>
      <c r="N49" s="2"/>
      <c r="O49" s="2"/>
      <c r="P49" s="2"/>
      <c r="Q49" s="2"/>
      <c r="R49" s="2"/>
    </row>
    <row r="50" customFormat="false" ht="15" hidden="false" customHeight="false" outlineLevel="0" collapsed="false">
      <c r="A50" s="5" t="s">
        <v>508</v>
      </c>
      <c r="B50" s="28" t="n">
        <v>45866</v>
      </c>
      <c r="C50" s="5" t="s">
        <v>510</v>
      </c>
      <c r="D50" s="5" t="s">
        <v>461</v>
      </c>
      <c r="E50" s="14" t="n">
        <v>68.92</v>
      </c>
      <c r="F50" s="20" t="n">
        <v>1</v>
      </c>
      <c r="G50" s="38" t="n">
        <f aca="false">E50/F50</f>
        <v>68.92</v>
      </c>
      <c r="H50" s="36" t="s">
        <v>451</v>
      </c>
      <c r="I50" s="2"/>
      <c r="J50" s="2"/>
      <c r="K50" s="2"/>
      <c r="L50" s="2"/>
      <c r="M50" s="2"/>
      <c r="N50" s="2"/>
      <c r="O50" s="2"/>
      <c r="P50" s="2"/>
      <c r="Q50" s="2"/>
      <c r="R50" s="2"/>
    </row>
    <row r="51" customFormat="false" ht="15" hidden="false" customHeight="false" outlineLevel="0" collapsed="false">
      <c r="A51" s="5" t="s">
        <v>508</v>
      </c>
      <c r="B51" s="28" t="n">
        <v>45933</v>
      </c>
      <c r="C51" s="5" t="s">
        <v>510</v>
      </c>
      <c r="D51" s="5" t="s">
        <v>461</v>
      </c>
      <c r="E51" s="14" t="n">
        <v>68.92</v>
      </c>
      <c r="F51" s="20" t="n">
        <v>1</v>
      </c>
      <c r="G51" s="38" t="n">
        <f aca="false">E51/F51</f>
        <v>68.92</v>
      </c>
      <c r="H51" s="36" t="s">
        <v>451</v>
      </c>
      <c r="I51" s="2"/>
      <c r="J51" s="2"/>
      <c r="K51" s="2"/>
      <c r="L51" s="2"/>
      <c r="M51" s="2"/>
      <c r="N51" s="2"/>
      <c r="O51" s="2"/>
      <c r="P51" s="2"/>
      <c r="Q51" s="2"/>
      <c r="R51" s="2"/>
    </row>
    <row r="52" customFormat="false" ht="15" hidden="false" customHeight="false" outlineLevel="0" collapsed="false">
      <c r="A52" s="5" t="s">
        <v>508</v>
      </c>
      <c r="B52" s="28" t="n">
        <v>46031</v>
      </c>
      <c r="C52" s="5" t="s">
        <v>510</v>
      </c>
      <c r="D52" s="5" t="s">
        <v>461</v>
      </c>
      <c r="E52" s="14" t="n">
        <v>68.92</v>
      </c>
      <c r="F52" s="20" t="n">
        <v>1</v>
      </c>
      <c r="G52" s="38" t="n">
        <f aca="false">E52/F52</f>
        <v>68.92</v>
      </c>
      <c r="H52" s="36" t="s">
        <v>451</v>
      </c>
      <c r="I52" s="2"/>
      <c r="J52" s="2"/>
      <c r="K52" s="2"/>
      <c r="L52" s="2"/>
      <c r="M52" s="2"/>
      <c r="N52" s="2"/>
      <c r="O52" s="2"/>
      <c r="P52" s="2"/>
      <c r="Q52" s="2"/>
      <c r="R52" s="2"/>
    </row>
    <row r="53" customFormat="false" ht="15" hidden="false" customHeight="false" outlineLevel="0" collapsed="false">
      <c r="A53" s="5" t="s">
        <v>508</v>
      </c>
      <c r="B53" s="28" t="n">
        <v>46209</v>
      </c>
      <c r="C53" s="5" t="s">
        <v>510</v>
      </c>
      <c r="D53" s="5" t="s">
        <v>461</v>
      </c>
      <c r="E53" s="14" t="n">
        <v>68.92</v>
      </c>
      <c r="F53" s="20" t="n">
        <v>1</v>
      </c>
      <c r="G53" s="38" t="n">
        <f aca="false">E53/F53</f>
        <v>68.92</v>
      </c>
      <c r="H53" s="36" t="s">
        <v>451</v>
      </c>
      <c r="I53" s="2"/>
      <c r="J53" s="2"/>
      <c r="K53" s="2"/>
      <c r="L53" s="2"/>
      <c r="M53" s="2"/>
      <c r="N53" s="2"/>
      <c r="O53" s="2"/>
      <c r="P53" s="2"/>
      <c r="Q53" s="2"/>
      <c r="R53" s="2"/>
    </row>
    <row r="54" customFormat="false" ht="15" hidden="false" customHeight="false" outlineLevel="0" collapsed="false">
      <c r="A54" s="5" t="s">
        <v>508</v>
      </c>
      <c r="B54" s="28" t="n">
        <v>45482</v>
      </c>
      <c r="C54" s="5" t="s">
        <v>511</v>
      </c>
      <c r="D54" s="5" t="s">
        <v>462</v>
      </c>
      <c r="E54" s="14" t="n">
        <v>43.98</v>
      </c>
      <c r="F54" s="20" t="n">
        <v>1</v>
      </c>
      <c r="G54" s="38" t="n">
        <f aca="false">E54/F54</f>
        <v>43.98</v>
      </c>
      <c r="H54" s="36" t="s">
        <v>451</v>
      </c>
      <c r="I54" s="2"/>
      <c r="J54" s="2"/>
      <c r="K54" s="2"/>
      <c r="L54" s="2"/>
      <c r="M54" s="2"/>
      <c r="N54" s="2"/>
      <c r="O54" s="2"/>
      <c r="P54" s="2"/>
      <c r="Q54" s="2"/>
      <c r="R54" s="2"/>
    </row>
    <row r="55" customFormat="false" ht="15" hidden="false" customHeight="false" outlineLevel="0" collapsed="false">
      <c r="A55" s="5" t="s">
        <v>508</v>
      </c>
      <c r="B55" s="28" t="n">
        <v>45744</v>
      </c>
      <c r="C55" s="5" t="s">
        <v>512</v>
      </c>
      <c r="D55" s="5" t="s">
        <v>462</v>
      </c>
      <c r="E55" s="14" t="n">
        <v>43.98</v>
      </c>
      <c r="F55" s="20" t="n">
        <v>1</v>
      </c>
      <c r="G55" s="38" t="n">
        <f aca="false">E55/F55</f>
        <v>43.98</v>
      </c>
      <c r="H55" s="36" t="s">
        <v>451</v>
      </c>
      <c r="I55" s="2"/>
      <c r="J55" s="2"/>
      <c r="K55" s="2"/>
      <c r="L55" s="2"/>
      <c r="M55" s="2"/>
      <c r="N55" s="2"/>
      <c r="O55" s="2"/>
      <c r="P55" s="2"/>
      <c r="Q55" s="2"/>
      <c r="R55" s="2"/>
    </row>
    <row r="56" customFormat="false" ht="15" hidden="false" customHeight="false" outlineLevel="0" collapsed="false">
      <c r="A56" s="5" t="s">
        <v>508</v>
      </c>
      <c r="B56" s="28" t="n">
        <v>45866</v>
      </c>
      <c r="C56" s="5" t="s">
        <v>512</v>
      </c>
      <c r="D56" s="5" t="s">
        <v>462</v>
      </c>
      <c r="E56" s="14" t="n">
        <v>25.35</v>
      </c>
      <c r="F56" s="20" t="n">
        <v>1</v>
      </c>
      <c r="G56" s="38" t="n">
        <f aca="false">E56/F56</f>
        <v>25.35</v>
      </c>
      <c r="H56" s="36" t="s">
        <v>451</v>
      </c>
      <c r="I56" s="2"/>
      <c r="J56" s="2"/>
      <c r="K56" s="2"/>
      <c r="L56" s="2"/>
      <c r="M56" s="2"/>
      <c r="N56" s="2"/>
      <c r="O56" s="2"/>
      <c r="P56" s="2"/>
      <c r="Q56" s="2"/>
      <c r="R56" s="2"/>
    </row>
    <row r="57" customFormat="false" ht="15" hidden="false" customHeight="false" outlineLevel="0" collapsed="false">
      <c r="A57" s="5" t="s">
        <v>508</v>
      </c>
      <c r="B57" s="28" t="n">
        <v>45933</v>
      </c>
      <c r="C57" s="5" t="s">
        <v>512</v>
      </c>
      <c r="D57" s="5" t="s">
        <v>462</v>
      </c>
      <c r="E57" s="14" t="n">
        <v>25.35</v>
      </c>
      <c r="F57" s="20" t="n">
        <v>1</v>
      </c>
      <c r="G57" s="38" t="n">
        <f aca="false">E57/F57</f>
        <v>25.35</v>
      </c>
      <c r="H57" s="36" t="s">
        <v>451</v>
      </c>
      <c r="I57" s="2"/>
      <c r="J57" s="2"/>
      <c r="K57" s="2"/>
      <c r="L57" s="2"/>
      <c r="M57" s="2"/>
      <c r="N57" s="2"/>
      <c r="O57" s="2"/>
      <c r="P57" s="2"/>
      <c r="Q57" s="2"/>
      <c r="R57" s="2"/>
    </row>
    <row r="58" customFormat="false" ht="15" hidden="false" customHeight="false" outlineLevel="0" collapsed="false">
      <c r="A58" s="5" t="s">
        <v>508</v>
      </c>
      <c r="B58" s="28" t="n">
        <v>46031</v>
      </c>
      <c r="C58" s="5" t="s">
        <v>512</v>
      </c>
      <c r="D58" s="5" t="s">
        <v>462</v>
      </c>
      <c r="E58" s="14" t="n">
        <v>25.35</v>
      </c>
      <c r="F58" s="20" t="n">
        <v>1</v>
      </c>
      <c r="G58" s="38" t="n">
        <f aca="false">E58/F58</f>
        <v>25.35</v>
      </c>
      <c r="H58" s="36" t="s">
        <v>451</v>
      </c>
      <c r="I58" s="2"/>
      <c r="J58" s="2"/>
      <c r="K58" s="2"/>
      <c r="L58" s="2"/>
      <c r="M58" s="2"/>
      <c r="N58" s="2"/>
      <c r="O58" s="2"/>
      <c r="P58" s="2"/>
      <c r="Q58" s="2"/>
      <c r="R58" s="2"/>
    </row>
    <row r="59" customFormat="false" ht="15" hidden="false" customHeight="false" outlineLevel="0" collapsed="false">
      <c r="A59" s="5" t="s">
        <v>508</v>
      </c>
      <c r="B59" s="28" t="n">
        <v>46209</v>
      </c>
      <c r="C59" s="5" t="s">
        <v>512</v>
      </c>
      <c r="D59" s="5" t="s">
        <v>462</v>
      </c>
      <c r="E59" s="14" t="n">
        <v>25.35</v>
      </c>
      <c r="F59" s="20" t="n">
        <v>1</v>
      </c>
      <c r="G59" s="38" t="n">
        <f aca="false">E59/F59</f>
        <v>25.35</v>
      </c>
      <c r="H59" s="36" t="s">
        <v>451</v>
      </c>
      <c r="I59" s="2"/>
      <c r="J59" s="2"/>
      <c r="K59" s="2"/>
      <c r="L59" s="2"/>
      <c r="M59" s="2"/>
      <c r="N59" s="2"/>
      <c r="O59" s="2"/>
      <c r="P59" s="2"/>
      <c r="Q59" s="2"/>
      <c r="R59" s="2"/>
    </row>
    <row r="60" customFormat="false" ht="15" hidden="false" customHeight="false" outlineLevel="0" collapsed="false">
      <c r="A60" s="5" t="s">
        <v>508</v>
      </c>
      <c r="B60" s="28" t="n">
        <v>45482</v>
      </c>
      <c r="C60" s="5" t="s">
        <v>511</v>
      </c>
      <c r="D60" s="5" t="s">
        <v>463</v>
      </c>
      <c r="E60" s="14" t="n">
        <v>43.98</v>
      </c>
      <c r="F60" s="20" t="n">
        <v>1</v>
      </c>
      <c r="G60" s="38" t="n">
        <f aca="false">E60/F60</f>
        <v>43.98</v>
      </c>
      <c r="H60" s="36" t="s">
        <v>451</v>
      </c>
      <c r="I60" s="2"/>
      <c r="J60" s="2"/>
      <c r="K60" s="2"/>
      <c r="L60" s="2"/>
      <c r="M60" s="2"/>
      <c r="N60" s="2"/>
      <c r="O60" s="2"/>
      <c r="P60" s="2"/>
      <c r="Q60" s="2"/>
      <c r="R60" s="2"/>
    </row>
    <row r="61" customFormat="false" ht="15" hidden="false" customHeight="false" outlineLevel="0" collapsed="false">
      <c r="A61" s="5" t="s">
        <v>508</v>
      </c>
      <c r="B61" s="28" t="n">
        <v>45744</v>
      </c>
      <c r="C61" s="5" t="s">
        <v>513</v>
      </c>
      <c r="D61" s="5" t="s">
        <v>463</v>
      </c>
      <c r="E61" s="14" t="n">
        <v>43.98</v>
      </c>
      <c r="F61" s="20" t="n">
        <v>1</v>
      </c>
      <c r="G61" s="38" t="n">
        <f aca="false">E61/F61</f>
        <v>43.98</v>
      </c>
      <c r="H61" s="36" t="s">
        <v>451</v>
      </c>
      <c r="I61" s="2"/>
      <c r="J61" s="2"/>
      <c r="K61" s="2"/>
      <c r="L61" s="2"/>
      <c r="M61" s="2"/>
      <c r="N61" s="2"/>
      <c r="O61" s="2"/>
      <c r="P61" s="2"/>
      <c r="Q61" s="2"/>
      <c r="R61" s="2"/>
    </row>
    <row r="62" customFormat="false" ht="15" hidden="false" customHeight="false" outlineLevel="0" collapsed="false">
      <c r="A62" s="5" t="s">
        <v>508</v>
      </c>
      <c r="B62" s="28" t="n">
        <v>45866</v>
      </c>
      <c r="C62" s="5" t="s">
        <v>513</v>
      </c>
      <c r="D62" s="5" t="s">
        <v>463</v>
      </c>
      <c r="E62" s="14" t="n">
        <v>43.98</v>
      </c>
      <c r="F62" s="20" t="n">
        <v>1</v>
      </c>
      <c r="G62" s="38" t="n">
        <f aca="false">E62/F62</f>
        <v>43.98</v>
      </c>
      <c r="H62" s="36" t="s">
        <v>451</v>
      </c>
      <c r="I62" s="2"/>
      <c r="J62" s="2"/>
      <c r="K62" s="2"/>
      <c r="L62" s="2"/>
      <c r="M62" s="2"/>
      <c r="N62" s="2"/>
      <c r="O62" s="2"/>
      <c r="P62" s="2"/>
      <c r="Q62" s="2"/>
      <c r="R62" s="2"/>
    </row>
    <row r="63" customFormat="false" ht="15" hidden="false" customHeight="false" outlineLevel="0" collapsed="false">
      <c r="A63" s="5" t="s">
        <v>508</v>
      </c>
      <c r="B63" s="28" t="n">
        <v>45933</v>
      </c>
      <c r="C63" s="5" t="s">
        <v>513</v>
      </c>
      <c r="D63" s="5" t="s">
        <v>463</v>
      </c>
      <c r="E63" s="14" t="n">
        <v>43.98</v>
      </c>
      <c r="F63" s="20" t="n">
        <v>1</v>
      </c>
      <c r="G63" s="38" t="n">
        <f aca="false">E63/F63</f>
        <v>43.98</v>
      </c>
      <c r="H63" s="36" t="s">
        <v>451</v>
      </c>
      <c r="I63" s="2"/>
      <c r="J63" s="2"/>
      <c r="K63" s="2"/>
      <c r="L63" s="2"/>
      <c r="M63" s="2"/>
      <c r="N63" s="2"/>
      <c r="O63" s="2"/>
      <c r="P63" s="2"/>
      <c r="Q63" s="2"/>
      <c r="R63" s="2"/>
    </row>
    <row r="64" customFormat="false" ht="15" hidden="false" customHeight="false" outlineLevel="0" collapsed="false">
      <c r="A64" s="5" t="s">
        <v>508</v>
      </c>
      <c r="B64" s="28" t="n">
        <v>46031</v>
      </c>
      <c r="C64" s="5" t="s">
        <v>513</v>
      </c>
      <c r="D64" s="5" t="s">
        <v>463</v>
      </c>
      <c r="E64" s="14" t="n">
        <v>43.98</v>
      </c>
      <c r="F64" s="20" t="n">
        <v>1</v>
      </c>
      <c r="G64" s="38" t="n">
        <f aca="false">E64/F64</f>
        <v>43.98</v>
      </c>
      <c r="H64" s="36" t="s">
        <v>451</v>
      </c>
      <c r="I64" s="2"/>
      <c r="J64" s="2"/>
      <c r="K64" s="2"/>
      <c r="L64" s="2"/>
      <c r="M64" s="2"/>
      <c r="N64" s="2"/>
      <c r="O64" s="2"/>
      <c r="P64" s="2"/>
      <c r="Q64" s="2"/>
      <c r="R64" s="2"/>
    </row>
    <row r="65" customFormat="false" ht="15" hidden="false" customHeight="false" outlineLevel="0" collapsed="false">
      <c r="A65" s="5" t="s">
        <v>508</v>
      </c>
      <c r="B65" s="28" t="n">
        <v>46209</v>
      </c>
      <c r="C65" s="5" t="s">
        <v>513</v>
      </c>
      <c r="D65" s="5" t="s">
        <v>463</v>
      </c>
      <c r="E65" s="14" t="n">
        <v>43.98</v>
      </c>
      <c r="F65" s="20" t="n">
        <v>1</v>
      </c>
      <c r="G65" s="38" t="n">
        <f aca="false">E65/F65</f>
        <v>43.98</v>
      </c>
      <c r="H65" s="36" t="s">
        <v>451</v>
      </c>
      <c r="I65" s="2"/>
      <c r="J65" s="2"/>
      <c r="K65" s="2"/>
      <c r="L65" s="2"/>
      <c r="M65" s="2"/>
      <c r="N65" s="2"/>
      <c r="O65" s="2"/>
      <c r="P65" s="2"/>
      <c r="Q65" s="2"/>
      <c r="R65" s="2"/>
    </row>
    <row r="66" customFormat="false" ht="15" hidden="false" customHeight="false" outlineLevel="0" collapsed="false">
      <c r="A66" s="5" t="s">
        <v>508</v>
      </c>
      <c r="B66" s="28" t="n">
        <v>45482</v>
      </c>
      <c r="C66" s="5" t="s">
        <v>514</v>
      </c>
      <c r="D66" s="5" t="s">
        <v>464</v>
      </c>
      <c r="E66" s="14" t="n">
        <v>10.88</v>
      </c>
      <c r="F66" s="20" t="n">
        <v>1</v>
      </c>
      <c r="G66" s="38" t="n">
        <f aca="false">E66/F66</f>
        <v>10.88</v>
      </c>
      <c r="H66" s="36" t="s">
        <v>451</v>
      </c>
      <c r="I66" s="2"/>
      <c r="J66" s="2"/>
      <c r="K66" s="2"/>
      <c r="L66" s="2"/>
      <c r="M66" s="2"/>
      <c r="N66" s="2"/>
      <c r="O66" s="2"/>
      <c r="P66" s="2"/>
      <c r="Q66" s="2"/>
      <c r="R66" s="2"/>
    </row>
    <row r="67" customFormat="false" ht="15" hidden="false" customHeight="false" outlineLevel="0" collapsed="false">
      <c r="A67" s="5" t="s">
        <v>508</v>
      </c>
      <c r="B67" s="28" t="n">
        <v>45744</v>
      </c>
      <c r="C67" s="5" t="s">
        <v>515</v>
      </c>
      <c r="D67" s="5" t="s">
        <v>464</v>
      </c>
      <c r="E67" s="14" t="n">
        <v>272.1</v>
      </c>
      <c r="F67" s="20" t="n">
        <v>25</v>
      </c>
      <c r="G67" s="38" t="n">
        <f aca="false">E67/F67</f>
        <v>10.884</v>
      </c>
      <c r="H67" s="36" t="s">
        <v>451</v>
      </c>
      <c r="I67" s="2"/>
      <c r="J67" s="2"/>
      <c r="K67" s="2"/>
      <c r="L67" s="2"/>
      <c r="M67" s="2"/>
      <c r="N67" s="2"/>
      <c r="O67" s="2"/>
      <c r="P67" s="2"/>
      <c r="Q67" s="2"/>
      <c r="R67" s="2"/>
    </row>
    <row r="68" customFormat="false" ht="15" hidden="false" customHeight="false" outlineLevel="0" collapsed="false">
      <c r="A68" s="5" t="s">
        <v>508</v>
      </c>
      <c r="B68" s="28" t="n">
        <v>45866</v>
      </c>
      <c r="C68" s="5" t="s">
        <v>515</v>
      </c>
      <c r="D68" s="5" t="s">
        <v>464</v>
      </c>
      <c r="E68" s="14" t="n">
        <v>203.44</v>
      </c>
      <c r="F68" s="20" t="n">
        <v>25</v>
      </c>
      <c r="G68" s="38" t="n">
        <f aca="false">E68/F68</f>
        <v>8.1376</v>
      </c>
      <c r="H68" s="36" t="s">
        <v>451</v>
      </c>
      <c r="I68" s="2"/>
      <c r="J68" s="2"/>
      <c r="K68" s="2"/>
      <c r="L68" s="2"/>
      <c r="M68" s="2"/>
      <c r="N68" s="2"/>
      <c r="O68" s="2"/>
      <c r="P68" s="2"/>
      <c r="Q68" s="2"/>
      <c r="R68" s="2"/>
    </row>
    <row r="69" customFormat="false" ht="15" hidden="false" customHeight="false" outlineLevel="0" collapsed="false">
      <c r="A69" s="5" t="s">
        <v>508</v>
      </c>
      <c r="B69" s="28" t="n">
        <v>45933</v>
      </c>
      <c r="C69" s="5" t="s">
        <v>515</v>
      </c>
      <c r="D69" s="5" t="s">
        <v>464</v>
      </c>
      <c r="E69" s="14" t="n">
        <v>203.44</v>
      </c>
      <c r="F69" s="20" t="n">
        <v>25</v>
      </c>
      <c r="G69" s="38" t="n">
        <f aca="false">E69/F69</f>
        <v>8.1376</v>
      </c>
      <c r="H69" s="36" t="s">
        <v>451</v>
      </c>
      <c r="I69" s="2"/>
      <c r="J69" s="2"/>
      <c r="K69" s="2"/>
      <c r="L69" s="2"/>
      <c r="M69" s="2"/>
      <c r="N69" s="2"/>
      <c r="O69" s="2"/>
      <c r="P69" s="2"/>
      <c r="Q69" s="2"/>
      <c r="R69" s="2"/>
    </row>
    <row r="70" customFormat="false" ht="15" hidden="false" customHeight="false" outlineLevel="0" collapsed="false">
      <c r="A70" s="5" t="s">
        <v>508</v>
      </c>
      <c r="B70" s="28" t="n">
        <v>46031</v>
      </c>
      <c r="C70" s="5" t="s">
        <v>515</v>
      </c>
      <c r="D70" s="5" t="s">
        <v>464</v>
      </c>
      <c r="E70" s="14" t="n">
        <v>203.44</v>
      </c>
      <c r="F70" s="20" t="n">
        <v>25</v>
      </c>
      <c r="G70" s="38" t="n">
        <f aca="false">E70/F70</f>
        <v>8.1376</v>
      </c>
      <c r="H70" s="36" t="s">
        <v>451</v>
      </c>
      <c r="I70" s="2"/>
      <c r="J70" s="2"/>
      <c r="K70" s="2"/>
      <c r="L70" s="2"/>
      <c r="M70" s="2"/>
      <c r="N70" s="2"/>
      <c r="O70" s="2"/>
      <c r="P70" s="2"/>
      <c r="Q70" s="2"/>
      <c r="R70" s="2"/>
    </row>
    <row r="71" customFormat="false" ht="15" hidden="false" customHeight="false" outlineLevel="0" collapsed="false">
      <c r="A71" s="5" t="s">
        <v>508</v>
      </c>
      <c r="B71" s="28" t="n">
        <v>46209</v>
      </c>
      <c r="C71" s="5" t="s">
        <v>515</v>
      </c>
      <c r="D71" s="5" t="s">
        <v>464</v>
      </c>
      <c r="E71" s="14" t="n">
        <v>203.44</v>
      </c>
      <c r="F71" s="20" t="n">
        <v>25</v>
      </c>
      <c r="G71" s="38" t="n">
        <f aca="false">E71/F71</f>
        <v>8.1376</v>
      </c>
      <c r="H71" s="36" t="s">
        <v>451</v>
      </c>
      <c r="I71" s="2"/>
      <c r="J71" s="2"/>
      <c r="K71" s="2"/>
      <c r="L71" s="2"/>
      <c r="M71" s="2"/>
      <c r="N71" s="2"/>
      <c r="O71" s="2"/>
      <c r="P71" s="2"/>
      <c r="Q71" s="2"/>
      <c r="R71" s="2"/>
    </row>
    <row r="72" customFormat="false" ht="15" hidden="false" customHeight="false" outlineLevel="0" collapsed="false">
      <c r="A72" s="5" t="s">
        <v>508</v>
      </c>
      <c r="B72" s="28" t="n">
        <v>45482</v>
      </c>
      <c r="C72" s="5" t="s">
        <v>514</v>
      </c>
      <c r="D72" s="5" t="s">
        <v>465</v>
      </c>
      <c r="E72" s="14" t="n">
        <v>10.42</v>
      </c>
      <c r="F72" s="20" t="n">
        <v>1</v>
      </c>
      <c r="G72" s="38" t="n">
        <f aca="false">E72/F72</f>
        <v>10.42</v>
      </c>
      <c r="H72" s="36" t="s">
        <v>451</v>
      </c>
      <c r="I72" s="2"/>
      <c r="J72" s="2"/>
      <c r="K72" s="2"/>
      <c r="L72" s="2"/>
      <c r="M72" s="2"/>
      <c r="N72" s="2"/>
      <c r="O72" s="2"/>
      <c r="P72" s="2"/>
      <c r="Q72" s="2"/>
      <c r="R72" s="2"/>
    </row>
    <row r="73" customFormat="false" ht="15" hidden="false" customHeight="false" outlineLevel="0" collapsed="false">
      <c r="A73" s="5" t="s">
        <v>508</v>
      </c>
      <c r="B73" s="28" t="n">
        <v>45744</v>
      </c>
      <c r="C73" s="5" t="s">
        <v>516</v>
      </c>
      <c r="D73" s="5" t="s">
        <v>465</v>
      </c>
      <c r="E73" s="14" t="n">
        <v>260.44</v>
      </c>
      <c r="F73" s="20" t="n">
        <v>25</v>
      </c>
      <c r="G73" s="38" t="n">
        <f aca="false">E73/F73</f>
        <v>10.4176</v>
      </c>
      <c r="H73" s="36" t="s">
        <v>451</v>
      </c>
      <c r="I73" s="2"/>
      <c r="J73" s="2"/>
      <c r="K73" s="2"/>
      <c r="L73" s="2"/>
      <c r="M73" s="2"/>
      <c r="N73" s="2"/>
      <c r="O73" s="2"/>
      <c r="P73" s="2"/>
      <c r="Q73" s="2"/>
      <c r="R73" s="2"/>
    </row>
    <row r="74" customFormat="false" ht="15" hidden="false" customHeight="false" outlineLevel="0" collapsed="false">
      <c r="A74" s="5" t="s">
        <v>508</v>
      </c>
      <c r="B74" s="28" t="n">
        <v>45866</v>
      </c>
      <c r="C74" s="5" t="s">
        <v>516</v>
      </c>
      <c r="D74" s="5" t="s">
        <v>465</v>
      </c>
      <c r="E74" s="14" t="n">
        <v>260.44</v>
      </c>
      <c r="F74" s="20" t="n">
        <v>25</v>
      </c>
      <c r="G74" s="38" t="n">
        <f aca="false">E74/F74</f>
        <v>10.4176</v>
      </c>
      <c r="H74" s="36" t="s">
        <v>451</v>
      </c>
      <c r="I74" s="2"/>
      <c r="J74" s="2"/>
      <c r="K74" s="2"/>
      <c r="L74" s="2"/>
      <c r="M74" s="2"/>
      <c r="N74" s="2"/>
      <c r="O74" s="2"/>
      <c r="P74" s="2"/>
      <c r="Q74" s="2"/>
      <c r="R74" s="2"/>
    </row>
    <row r="75" customFormat="false" ht="15" hidden="false" customHeight="false" outlineLevel="0" collapsed="false">
      <c r="A75" s="5" t="s">
        <v>508</v>
      </c>
      <c r="B75" s="28" t="n">
        <v>45933</v>
      </c>
      <c r="C75" s="5" t="s">
        <v>516</v>
      </c>
      <c r="D75" s="5" t="s">
        <v>465</v>
      </c>
      <c r="E75" s="14" t="n">
        <v>260.44</v>
      </c>
      <c r="F75" s="20" t="n">
        <v>25</v>
      </c>
      <c r="G75" s="38" t="n">
        <f aca="false">E75/F75</f>
        <v>10.4176</v>
      </c>
      <c r="H75" s="36" t="s">
        <v>451</v>
      </c>
      <c r="I75" s="2"/>
      <c r="J75" s="2"/>
      <c r="K75" s="2"/>
      <c r="L75" s="2"/>
      <c r="M75" s="2"/>
      <c r="N75" s="2"/>
      <c r="O75" s="2"/>
      <c r="P75" s="2"/>
      <c r="Q75" s="2"/>
      <c r="R75" s="2"/>
    </row>
    <row r="76" customFormat="false" ht="15" hidden="false" customHeight="false" outlineLevel="0" collapsed="false">
      <c r="A76" s="5" t="s">
        <v>508</v>
      </c>
      <c r="B76" s="28" t="n">
        <v>46031</v>
      </c>
      <c r="C76" s="5" t="s">
        <v>516</v>
      </c>
      <c r="D76" s="5" t="s">
        <v>465</v>
      </c>
      <c r="E76" s="14" t="n">
        <v>260.44</v>
      </c>
      <c r="F76" s="20" t="n">
        <v>25</v>
      </c>
      <c r="G76" s="38" t="n">
        <f aca="false">E76/F76</f>
        <v>10.4176</v>
      </c>
      <c r="H76" s="36" t="s">
        <v>451</v>
      </c>
      <c r="I76" s="2"/>
      <c r="J76" s="2"/>
      <c r="K76" s="2"/>
      <c r="L76" s="2"/>
      <c r="M76" s="2"/>
      <c r="N76" s="2"/>
      <c r="O76" s="2"/>
      <c r="P76" s="2"/>
      <c r="Q76" s="2"/>
      <c r="R76" s="2"/>
    </row>
    <row r="77" customFormat="false" ht="15" hidden="false" customHeight="false" outlineLevel="0" collapsed="false">
      <c r="A77" s="5" t="s">
        <v>508</v>
      </c>
      <c r="B77" s="28" t="n">
        <v>46209</v>
      </c>
      <c r="C77" s="5" t="s">
        <v>516</v>
      </c>
      <c r="D77" s="5" t="s">
        <v>465</v>
      </c>
      <c r="E77" s="14" t="n">
        <v>260.44</v>
      </c>
      <c r="F77" s="20" t="n">
        <v>25</v>
      </c>
      <c r="G77" s="38" t="n">
        <f aca="false">E77/F77</f>
        <v>10.4176</v>
      </c>
      <c r="H77" s="36" t="s">
        <v>451</v>
      </c>
      <c r="I77" s="2"/>
      <c r="J77" s="2"/>
      <c r="K77" s="2"/>
      <c r="L77" s="2"/>
      <c r="M77" s="2"/>
      <c r="N77" s="2"/>
      <c r="O77" s="2"/>
      <c r="P77" s="2"/>
      <c r="Q77" s="2"/>
      <c r="R77" s="2"/>
    </row>
    <row r="78" customFormat="false" ht="15" hidden="false" customHeight="false" outlineLevel="0" collapsed="false">
      <c r="A78" s="5" t="s">
        <v>508</v>
      </c>
      <c r="B78" s="28" t="n">
        <v>45482</v>
      </c>
      <c r="C78" s="5" t="s">
        <v>514</v>
      </c>
      <c r="D78" s="5" t="s">
        <v>466</v>
      </c>
      <c r="E78" s="14" t="n">
        <v>10.42</v>
      </c>
      <c r="F78" s="20" t="n">
        <v>1</v>
      </c>
      <c r="G78" s="38" t="n">
        <f aca="false">E78/F78</f>
        <v>10.42</v>
      </c>
      <c r="H78" s="36" t="s">
        <v>451</v>
      </c>
      <c r="I78" s="2"/>
      <c r="J78" s="2"/>
      <c r="K78" s="2"/>
      <c r="L78" s="2"/>
      <c r="M78" s="2"/>
      <c r="N78" s="2"/>
      <c r="O78" s="2"/>
      <c r="P78" s="2"/>
      <c r="Q78" s="2"/>
      <c r="R78" s="2"/>
    </row>
    <row r="79" customFormat="false" ht="15" hidden="false" customHeight="false" outlineLevel="0" collapsed="false">
      <c r="A79" s="5" t="s">
        <v>508</v>
      </c>
      <c r="B79" s="28" t="n">
        <v>45744</v>
      </c>
      <c r="C79" s="5" t="s">
        <v>516</v>
      </c>
      <c r="D79" s="5" t="s">
        <v>466</v>
      </c>
      <c r="E79" s="14" t="n">
        <v>260.44</v>
      </c>
      <c r="F79" s="20" t="n">
        <v>25</v>
      </c>
      <c r="G79" s="38" t="n">
        <f aca="false">E79/F79</f>
        <v>10.4176</v>
      </c>
      <c r="H79" s="36" t="s">
        <v>451</v>
      </c>
      <c r="I79" s="2"/>
      <c r="J79" s="2"/>
      <c r="K79" s="2"/>
      <c r="L79" s="2"/>
      <c r="M79" s="2"/>
      <c r="N79" s="2"/>
      <c r="O79" s="2"/>
      <c r="P79" s="2"/>
      <c r="Q79" s="2"/>
      <c r="R79" s="2"/>
    </row>
    <row r="80" customFormat="false" ht="15" hidden="false" customHeight="false" outlineLevel="0" collapsed="false">
      <c r="A80" s="5" t="s">
        <v>508</v>
      </c>
      <c r="B80" s="28" t="n">
        <v>45866</v>
      </c>
      <c r="C80" s="5" t="s">
        <v>516</v>
      </c>
      <c r="D80" s="5" t="s">
        <v>466</v>
      </c>
      <c r="E80" s="14" t="n">
        <v>213.61</v>
      </c>
      <c r="F80" s="20" t="n">
        <v>25</v>
      </c>
      <c r="G80" s="38" t="n">
        <f aca="false">E80/F80</f>
        <v>8.5444</v>
      </c>
      <c r="H80" s="36" t="s">
        <v>451</v>
      </c>
      <c r="I80" s="2"/>
      <c r="J80" s="2"/>
      <c r="K80" s="2"/>
      <c r="L80" s="2"/>
      <c r="M80" s="2"/>
      <c r="N80" s="2"/>
      <c r="O80" s="2"/>
      <c r="P80" s="2"/>
      <c r="Q80" s="2"/>
      <c r="R80" s="2"/>
    </row>
    <row r="81" customFormat="false" ht="15" hidden="false" customHeight="false" outlineLevel="0" collapsed="false">
      <c r="A81" s="5" t="s">
        <v>508</v>
      </c>
      <c r="B81" s="28" t="n">
        <v>45933</v>
      </c>
      <c r="C81" s="5" t="s">
        <v>516</v>
      </c>
      <c r="D81" s="5" t="s">
        <v>466</v>
      </c>
      <c r="E81" s="14" t="n">
        <v>213.61</v>
      </c>
      <c r="F81" s="20" t="n">
        <v>25</v>
      </c>
      <c r="G81" s="38" t="n">
        <f aca="false">E81/F81</f>
        <v>8.5444</v>
      </c>
      <c r="H81" s="36" t="s">
        <v>451</v>
      </c>
      <c r="I81" s="2"/>
      <c r="J81" s="2"/>
      <c r="K81" s="2"/>
      <c r="L81" s="2"/>
      <c r="M81" s="2"/>
      <c r="N81" s="2"/>
      <c r="O81" s="2"/>
      <c r="P81" s="2"/>
      <c r="Q81" s="2"/>
      <c r="R81" s="2"/>
    </row>
    <row r="82" customFormat="false" ht="15" hidden="false" customHeight="false" outlineLevel="0" collapsed="false">
      <c r="A82" s="5" t="s">
        <v>508</v>
      </c>
      <c r="B82" s="28" t="n">
        <v>46031</v>
      </c>
      <c r="C82" s="5" t="s">
        <v>516</v>
      </c>
      <c r="D82" s="5" t="s">
        <v>466</v>
      </c>
      <c r="E82" s="14" t="n">
        <v>213.61</v>
      </c>
      <c r="F82" s="20" t="n">
        <v>25</v>
      </c>
      <c r="G82" s="38" t="n">
        <f aca="false">E82/F82</f>
        <v>8.5444</v>
      </c>
      <c r="H82" s="36" t="s">
        <v>451</v>
      </c>
      <c r="I82" s="2"/>
      <c r="J82" s="2"/>
      <c r="K82" s="2"/>
      <c r="L82" s="2"/>
      <c r="M82" s="2"/>
      <c r="N82" s="2"/>
      <c r="O82" s="2"/>
      <c r="P82" s="2"/>
      <c r="Q82" s="2"/>
      <c r="R82" s="2"/>
    </row>
    <row r="83" customFormat="false" ht="15" hidden="false" customHeight="false" outlineLevel="0" collapsed="false">
      <c r="A83" s="5" t="s">
        <v>508</v>
      </c>
      <c r="B83" s="28" t="n">
        <v>46209</v>
      </c>
      <c r="C83" s="5" t="s">
        <v>516</v>
      </c>
      <c r="D83" s="5" t="s">
        <v>466</v>
      </c>
      <c r="E83" s="14" t="n">
        <v>213.61</v>
      </c>
      <c r="F83" s="20" t="n">
        <v>25</v>
      </c>
      <c r="G83" s="38" t="n">
        <f aca="false">E83/F83</f>
        <v>8.5444</v>
      </c>
      <c r="H83" s="36" t="s">
        <v>451</v>
      </c>
      <c r="I83" s="2"/>
      <c r="J83" s="2"/>
      <c r="K83" s="2"/>
      <c r="L83" s="2"/>
      <c r="M83" s="2"/>
      <c r="N83" s="2"/>
      <c r="O83" s="2"/>
      <c r="P83" s="2"/>
      <c r="Q83" s="2"/>
      <c r="R83" s="2"/>
    </row>
    <row r="84" customFormat="false" ht="15" hidden="false" customHeight="false" outlineLevel="0" collapsed="false">
      <c r="A84" s="5" t="s">
        <v>508</v>
      </c>
      <c r="B84" s="28" t="n">
        <v>45482</v>
      </c>
      <c r="C84" s="5" t="s">
        <v>517</v>
      </c>
      <c r="D84" s="5" t="s">
        <v>467</v>
      </c>
      <c r="E84" s="14" t="n">
        <v>108.86</v>
      </c>
      <c r="F84" s="20" t="n">
        <v>1</v>
      </c>
      <c r="G84" s="38" t="n">
        <f aca="false">E84/F84</f>
        <v>108.86</v>
      </c>
      <c r="H84" s="36" t="s">
        <v>451</v>
      </c>
      <c r="I84" s="2"/>
      <c r="J84" s="2"/>
      <c r="K84" s="2"/>
      <c r="L84" s="2"/>
      <c r="M84" s="2"/>
      <c r="N84" s="2"/>
      <c r="O84" s="2"/>
      <c r="P84" s="2"/>
      <c r="Q84" s="2"/>
      <c r="R84" s="2"/>
    </row>
    <row r="85" customFormat="false" ht="15" hidden="false" customHeight="false" outlineLevel="0" collapsed="false">
      <c r="A85" s="5" t="s">
        <v>508</v>
      </c>
      <c r="B85" s="28" t="n">
        <v>45744</v>
      </c>
      <c r="C85" s="5" t="s">
        <v>518</v>
      </c>
      <c r="D85" s="5" t="s">
        <v>467</v>
      </c>
      <c r="E85" s="14" t="n">
        <v>108.86</v>
      </c>
      <c r="F85" s="20" t="n">
        <v>1</v>
      </c>
      <c r="G85" s="38" t="n">
        <f aca="false">E85/F85</f>
        <v>108.86</v>
      </c>
      <c r="H85" s="36" t="s">
        <v>451</v>
      </c>
      <c r="I85" s="2"/>
      <c r="J85" s="2"/>
      <c r="K85" s="2"/>
      <c r="L85" s="2"/>
      <c r="M85" s="2"/>
      <c r="N85" s="2"/>
      <c r="O85" s="2"/>
      <c r="P85" s="2"/>
      <c r="Q85" s="2"/>
      <c r="R85" s="2"/>
    </row>
    <row r="86" customFormat="false" ht="15" hidden="false" customHeight="false" outlineLevel="0" collapsed="false">
      <c r="A86" s="5" t="s">
        <v>508</v>
      </c>
      <c r="B86" s="28" t="n">
        <v>45866</v>
      </c>
      <c r="C86" s="5" t="s">
        <v>518</v>
      </c>
      <c r="D86" s="5" t="s">
        <v>467</v>
      </c>
      <c r="E86" s="14" t="n">
        <v>108.86</v>
      </c>
      <c r="F86" s="20" t="n">
        <v>1</v>
      </c>
      <c r="G86" s="38" t="n">
        <f aca="false">E86/F86</f>
        <v>108.86</v>
      </c>
      <c r="H86" s="36" t="s">
        <v>451</v>
      </c>
      <c r="I86" s="2"/>
      <c r="J86" s="2"/>
      <c r="K86" s="2"/>
      <c r="L86" s="2"/>
      <c r="M86" s="2"/>
      <c r="N86" s="2"/>
      <c r="O86" s="2"/>
      <c r="P86" s="2"/>
      <c r="Q86" s="2"/>
      <c r="R86" s="2"/>
    </row>
    <row r="87" customFormat="false" ht="15" hidden="false" customHeight="false" outlineLevel="0" collapsed="false">
      <c r="A87" s="5" t="s">
        <v>508</v>
      </c>
      <c r="B87" s="28" t="n">
        <v>45933</v>
      </c>
      <c r="C87" s="5" t="s">
        <v>518</v>
      </c>
      <c r="D87" s="5" t="s">
        <v>467</v>
      </c>
      <c r="E87" s="14" t="n">
        <v>108.86</v>
      </c>
      <c r="F87" s="20" t="n">
        <v>1</v>
      </c>
      <c r="G87" s="38" t="n">
        <f aca="false">E87/F87</f>
        <v>108.86</v>
      </c>
      <c r="H87" s="36" t="s">
        <v>451</v>
      </c>
      <c r="I87" s="2"/>
      <c r="J87" s="2"/>
      <c r="K87" s="2"/>
      <c r="L87" s="2"/>
      <c r="M87" s="2"/>
      <c r="N87" s="2"/>
      <c r="O87" s="2"/>
      <c r="P87" s="2"/>
      <c r="Q87" s="2"/>
      <c r="R87" s="2"/>
    </row>
    <row r="88" customFormat="false" ht="15" hidden="false" customHeight="false" outlineLevel="0" collapsed="false">
      <c r="A88" s="5" t="s">
        <v>508</v>
      </c>
      <c r="B88" s="28" t="n">
        <v>46031</v>
      </c>
      <c r="C88" s="5" t="s">
        <v>518</v>
      </c>
      <c r="D88" s="5" t="s">
        <v>467</v>
      </c>
      <c r="E88" s="14" t="n">
        <v>108.86</v>
      </c>
      <c r="F88" s="20" t="n">
        <v>1</v>
      </c>
      <c r="G88" s="38" t="n">
        <f aca="false">E88/F88</f>
        <v>108.86</v>
      </c>
      <c r="H88" s="36" t="s">
        <v>451</v>
      </c>
      <c r="I88" s="2"/>
      <c r="J88" s="2"/>
      <c r="K88" s="2"/>
      <c r="L88" s="2"/>
      <c r="M88" s="2"/>
      <c r="N88" s="2"/>
      <c r="O88" s="2"/>
      <c r="P88" s="2"/>
      <c r="Q88" s="2"/>
      <c r="R88" s="2"/>
    </row>
    <row r="89" customFormat="false" ht="15" hidden="false" customHeight="false" outlineLevel="0" collapsed="false">
      <c r="A89" s="5" t="s">
        <v>508</v>
      </c>
      <c r="B89" s="28" t="n">
        <v>46209</v>
      </c>
      <c r="C89" s="5" t="s">
        <v>518</v>
      </c>
      <c r="D89" s="5" t="s">
        <v>467</v>
      </c>
      <c r="E89" s="14" t="n">
        <v>108.86</v>
      </c>
      <c r="F89" s="20" t="n">
        <v>1</v>
      </c>
      <c r="G89" s="38" t="n">
        <f aca="false">E89/F89</f>
        <v>108.86</v>
      </c>
      <c r="H89" s="36" t="s">
        <v>451</v>
      </c>
      <c r="I89" s="2"/>
      <c r="J89" s="2"/>
      <c r="K89" s="2"/>
      <c r="L89" s="2"/>
      <c r="M89" s="2"/>
      <c r="N89" s="2"/>
      <c r="O89" s="2"/>
      <c r="P89" s="2"/>
      <c r="Q89" s="2"/>
      <c r="R89" s="2"/>
    </row>
    <row r="90" customFormat="false" ht="15" hidden="false" customHeight="false" outlineLevel="0" collapsed="false">
      <c r="A90" s="5" t="s">
        <v>508</v>
      </c>
      <c r="B90" s="28" t="n">
        <v>45482</v>
      </c>
      <c r="C90" s="5" t="s">
        <v>519</v>
      </c>
      <c r="D90" s="5" t="s">
        <v>468</v>
      </c>
      <c r="E90" s="14" t="n">
        <v>6.76</v>
      </c>
      <c r="F90" s="20" t="n">
        <v>1</v>
      </c>
      <c r="G90" s="38" t="n">
        <f aca="false">E90/F90</f>
        <v>6.76</v>
      </c>
      <c r="H90" s="36" t="s">
        <v>451</v>
      </c>
      <c r="I90" s="2"/>
      <c r="J90" s="2"/>
      <c r="K90" s="2"/>
      <c r="L90" s="2"/>
      <c r="M90" s="2"/>
      <c r="N90" s="2"/>
      <c r="O90" s="2"/>
      <c r="P90" s="2"/>
      <c r="Q90" s="2"/>
      <c r="R90" s="2"/>
    </row>
    <row r="91" customFormat="false" ht="15" hidden="false" customHeight="false" outlineLevel="0" collapsed="false">
      <c r="A91" s="5" t="s">
        <v>508</v>
      </c>
      <c r="B91" s="28" t="n">
        <v>45744</v>
      </c>
      <c r="C91" s="5" t="s">
        <v>520</v>
      </c>
      <c r="D91" s="5" t="s">
        <v>468</v>
      </c>
      <c r="E91" s="14" t="n">
        <v>168.96</v>
      </c>
      <c r="F91" s="20" t="n">
        <v>25</v>
      </c>
      <c r="G91" s="38" t="n">
        <f aca="false">E91/F91</f>
        <v>6.7584</v>
      </c>
      <c r="H91" s="36" t="s">
        <v>451</v>
      </c>
      <c r="I91" s="2"/>
      <c r="J91" s="2"/>
      <c r="K91" s="2"/>
      <c r="L91" s="2"/>
      <c r="M91" s="2"/>
      <c r="N91" s="2"/>
      <c r="O91" s="2"/>
      <c r="P91" s="2"/>
      <c r="Q91" s="2"/>
      <c r="R91" s="2"/>
    </row>
    <row r="92" customFormat="false" ht="15" hidden="false" customHeight="false" outlineLevel="0" collapsed="false">
      <c r="A92" s="5" t="s">
        <v>508</v>
      </c>
      <c r="B92" s="28" t="n">
        <v>45866</v>
      </c>
      <c r="C92" s="5" t="s">
        <v>520</v>
      </c>
      <c r="D92" s="5" t="s">
        <v>468</v>
      </c>
      <c r="E92" s="14" t="n">
        <v>127.84</v>
      </c>
      <c r="F92" s="20" t="n">
        <v>25</v>
      </c>
      <c r="G92" s="38" t="n">
        <f aca="false">E92/F92</f>
        <v>5.1136</v>
      </c>
      <c r="H92" s="36" t="s">
        <v>451</v>
      </c>
      <c r="I92" s="2"/>
      <c r="J92" s="2"/>
      <c r="K92" s="2"/>
      <c r="L92" s="2"/>
      <c r="M92" s="2"/>
      <c r="N92" s="2"/>
      <c r="O92" s="2"/>
      <c r="P92" s="2"/>
      <c r="Q92" s="2"/>
      <c r="R92" s="2"/>
    </row>
    <row r="93" customFormat="false" ht="15" hidden="false" customHeight="false" outlineLevel="0" collapsed="false">
      <c r="A93" s="5" t="s">
        <v>508</v>
      </c>
      <c r="B93" s="28" t="n">
        <v>45933</v>
      </c>
      <c r="C93" s="5" t="s">
        <v>520</v>
      </c>
      <c r="D93" s="5" t="s">
        <v>468</v>
      </c>
      <c r="E93" s="14" t="n">
        <v>127.84</v>
      </c>
      <c r="F93" s="20" t="n">
        <v>25</v>
      </c>
      <c r="G93" s="38" t="n">
        <f aca="false">E93/F93</f>
        <v>5.1136</v>
      </c>
      <c r="H93" s="36" t="s">
        <v>451</v>
      </c>
      <c r="I93" s="2"/>
      <c r="J93" s="2"/>
      <c r="K93" s="2"/>
      <c r="L93" s="2"/>
      <c r="M93" s="2"/>
      <c r="N93" s="2"/>
      <c r="O93" s="2"/>
      <c r="P93" s="2"/>
      <c r="Q93" s="2"/>
      <c r="R93" s="2"/>
    </row>
    <row r="94" customFormat="false" ht="15" hidden="false" customHeight="false" outlineLevel="0" collapsed="false">
      <c r="A94" s="5" t="s">
        <v>508</v>
      </c>
      <c r="B94" s="28" t="n">
        <v>46031</v>
      </c>
      <c r="C94" s="5" t="s">
        <v>520</v>
      </c>
      <c r="D94" s="5" t="s">
        <v>468</v>
      </c>
      <c r="E94" s="14" t="n">
        <v>127.84</v>
      </c>
      <c r="F94" s="20" t="n">
        <v>25</v>
      </c>
      <c r="G94" s="38" t="n">
        <f aca="false">E94/F94</f>
        <v>5.1136</v>
      </c>
      <c r="H94" s="36" t="s">
        <v>451</v>
      </c>
      <c r="I94" s="2"/>
      <c r="J94" s="2"/>
      <c r="K94" s="2"/>
      <c r="L94" s="2"/>
      <c r="M94" s="2"/>
      <c r="N94" s="2"/>
      <c r="O94" s="2"/>
      <c r="P94" s="2"/>
      <c r="Q94" s="2"/>
      <c r="R94" s="2"/>
    </row>
    <row r="95" customFormat="false" ht="15" hidden="false" customHeight="false" outlineLevel="0" collapsed="false">
      <c r="A95" s="5" t="s">
        <v>508</v>
      </c>
      <c r="B95" s="28" t="n">
        <v>46209</v>
      </c>
      <c r="C95" s="5" t="s">
        <v>520</v>
      </c>
      <c r="D95" s="5" t="s">
        <v>468</v>
      </c>
      <c r="E95" s="14" t="n">
        <v>127.84</v>
      </c>
      <c r="F95" s="20" t="n">
        <v>25</v>
      </c>
      <c r="G95" s="38" t="n">
        <f aca="false">E95/F95</f>
        <v>5.1136</v>
      </c>
      <c r="H95" s="36" t="s">
        <v>451</v>
      </c>
      <c r="I95" s="2"/>
      <c r="J95" s="2"/>
      <c r="K95" s="2"/>
      <c r="L95" s="2"/>
      <c r="M95" s="2"/>
      <c r="N95" s="2"/>
      <c r="O95" s="2"/>
      <c r="P95" s="2"/>
      <c r="Q95" s="2"/>
      <c r="R95" s="2"/>
    </row>
    <row r="96" customFormat="false" ht="15" hidden="false" customHeight="false" outlineLevel="0" collapsed="false">
      <c r="A96" s="5" t="s">
        <v>508</v>
      </c>
      <c r="B96" s="28" t="n">
        <v>45482</v>
      </c>
      <c r="C96" s="5" t="s">
        <v>519</v>
      </c>
      <c r="D96" s="5" t="s">
        <v>469</v>
      </c>
      <c r="E96" s="14" t="n">
        <v>6.47</v>
      </c>
      <c r="F96" s="20" t="n">
        <v>1</v>
      </c>
      <c r="G96" s="38" t="n">
        <f aca="false">E96/F96</f>
        <v>6.47</v>
      </c>
      <c r="H96" s="36" t="s">
        <v>451</v>
      </c>
      <c r="I96" s="2"/>
      <c r="J96" s="2"/>
      <c r="K96" s="2"/>
      <c r="L96" s="2"/>
      <c r="M96" s="2"/>
      <c r="N96" s="2"/>
      <c r="O96" s="2"/>
      <c r="P96" s="2"/>
      <c r="Q96" s="2"/>
      <c r="R96" s="2"/>
    </row>
    <row r="97" customFormat="false" ht="15" hidden="false" customHeight="false" outlineLevel="0" collapsed="false">
      <c r="A97" s="5" t="s">
        <v>508</v>
      </c>
      <c r="B97" s="28" t="n">
        <v>45744</v>
      </c>
      <c r="C97" s="5" t="s">
        <v>521</v>
      </c>
      <c r="D97" s="5" t="s">
        <v>469</v>
      </c>
      <c r="E97" s="14" t="n">
        <v>161.72</v>
      </c>
      <c r="F97" s="20" t="n">
        <v>25</v>
      </c>
      <c r="G97" s="38" t="n">
        <f aca="false">E97/F97</f>
        <v>6.4688</v>
      </c>
      <c r="H97" s="36" t="s">
        <v>451</v>
      </c>
      <c r="I97" s="2"/>
      <c r="J97" s="2"/>
      <c r="K97" s="2"/>
      <c r="L97" s="2"/>
      <c r="M97" s="2"/>
      <c r="N97" s="2"/>
      <c r="O97" s="2"/>
      <c r="P97" s="2"/>
      <c r="Q97" s="2"/>
      <c r="R97" s="2"/>
    </row>
    <row r="98" customFormat="false" ht="15" hidden="false" customHeight="false" outlineLevel="0" collapsed="false">
      <c r="A98" s="5" t="s">
        <v>508</v>
      </c>
      <c r="B98" s="28" t="n">
        <v>45866</v>
      </c>
      <c r="C98" s="5" t="s">
        <v>521</v>
      </c>
      <c r="D98" s="5" t="s">
        <v>469</v>
      </c>
      <c r="E98" s="14" t="n">
        <v>161.72</v>
      </c>
      <c r="F98" s="20" t="n">
        <v>25</v>
      </c>
      <c r="G98" s="38" t="n">
        <f aca="false">E98/F98</f>
        <v>6.4688</v>
      </c>
      <c r="H98" s="36" t="s">
        <v>451</v>
      </c>
      <c r="I98" s="2"/>
      <c r="J98" s="2"/>
      <c r="K98" s="2"/>
      <c r="L98" s="2"/>
      <c r="M98" s="2"/>
      <c r="N98" s="2"/>
      <c r="O98" s="2"/>
      <c r="P98" s="2"/>
      <c r="Q98" s="2"/>
      <c r="R98" s="2"/>
    </row>
    <row r="99" customFormat="false" ht="15" hidden="false" customHeight="false" outlineLevel="0" collapsed="false">
      <c r="A99" s="5" t="s">
        <v>508</v>
      </c>
      <c r="B99" s="28" t="n">
        <v>45933</v>
      </c>
      <c r="C99" s="5" t="s">
        <v>521</v>
      </c>
      <c r="D99" s="5" t="s">
        <v>469</v>
      </c>
      <c r="E99" s="14" t="n">
        <v>161.72</v>
      </c>
      <c r="F99" s="20" t="n">
        <v>25</v>
      </c>
      <c r="G99" s="38" t="n">
        <f aca="false">E99/F99</f>
        <v>6.4688</v>
      </c>
      <c r="H99" s="36" t="s">
        <v>451</v>
      </c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customFormat="false" ht="15" hidden="false" customHeight="false" outlineLevel="0" collapsed="false">
      <c r="A100" s="5" t="s">
        <v>508</v>
      </c>
      <c r="B100" s="28" t="n">
        <v>46031</v>
      </c>
      <c r="C100" s="5" t="s">
        <v>521</v>
      </c>
      <c r="D100" s="5" t="s">
        <v>469</v>
      </c>
      <c r="E100" s="14" t="n">
        <v>161.72</v>
      </c>
      <c r="F100" s="20" t="n">
        <v>25</v>
      </c>
      <c r="G100" s="38" t="n">
        <f aca="false">E100/F100</f>
        <v>6.4688</v>
      </c>
      <c r="H100" s="36" t="s">
        <v>451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customFormat="false" ht="15" hidden="false" customHeight="false" outlineLevel="0" collapsed="false">
      <c r="A101" s="5" t="s">
        <v>508</v>
      </c>
      <c r="B101" s="28" t="n">
        <v>46209</v>
      </c>
      <c r="C101" s="5" t="s">
        <v>521</v>
      </c>
      <c r="D101" s="5" t="s">
        <v>469</v>
      </c>
      <c r="E101" s="14" t="n">
        <v>161.72</v>
      </c>
      <c r="F101" s="20" t="n">
        <v>25</v>
      </c>
      <c r="G101" s="38" t="n">
        <f aca="false">E101/F101</f>
        <v>6.4688</v>
      </c>
      <c r="H101" s="36" t="s">
        <v>451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customFormat="false" ht="15" hidden="false" customHeight="false" outlineLevel="0" collapsed="false">
      <c r="A102" s="5" t="s">
        <v>508</v>
      </c>
      <c r="B102" s="28" t="n">
        <v>45482</v>
      </c>
      <c r="C102" s="5" t="s">
        <v>519</v>
      </c>
      <c r="D102" s="5" t="s">
        <v>470</v>
      </c>
      <c r="E102" s="14" t="n">
        <v>6.47</v>
      </c>
      <c r="F102" s="20" t="n">
        <v>1</v>
      </c>
      <c r="G102" s="38" t="n">
        <f aca="false">E102/F102</f>
        <v>6.47</v>
      </c>
      <c r="H102" s="36" t="s">
        <v>451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customFormat="false" ht="15" hidden="false" customHeight="false" outlineLevel="0" collapsed="false">
      <c r="A103" s="5" t="s">
        <v>508</v>
      </c>
      <c r="B103" s="28" t="n">
        <v>45744</v>
      </c>
      <c r="C103" s="5" t="s">
        <v>521</v>
      </c>
      <c r="D103" s="5" t="s">
        <v>470</v>
      </c>
      <c r="E103" s="14" t="n">
        <v>161.72</v>
      </c>
      <c r="F103" s="20" t="n">
        <v>25</v>
      </c>
      <c r="G103" s="38" t="n">
        <f aca="false">E103/F103</f>
        <v>6.4688</v>
      </c>
      <c r="H103" s="36" t="s">
        <v>451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customFormat="false" ht="15" hidden="false" customHeight="false" outlineLevel="0" collapsed="false">
      <c r="A104" s="5" t="s">
        <v>508</v>
      </c>
      <c r="B104" s="28" t="n">
        <v>45866</v>
      </c>
      <c r="C104" s="5" t="s">
        <v>521</v>
      </c>
      <c r="D104" s="5" t="s">
        <v>470</v>
      </c>
      <c r="E104" s="14" t="n">
        <v>134.23</v>
      </c>
      <c r="F104" s="20" t="n">
        <v>25</v>
      </c>
      <c r="G104" s="38" t="n">
        <f aca="false">E104/F104</f>
        <v>5.3692</v>
      </c>
      <c r="H104" s="36" t="s">
        <v>451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customFormat="false" ht="15" hidden="false" customHeight="false" outlineLevel="0" collapsed="false">
      <c r="A105" s="5" t="s">
        <v>508</v>
      </c>
      <c r="B105" s="28" t="n">
        <v>45933</v>
      </c>
      <c r="C105" s="5" t="s">
        <v>521</v>
      </c>
      <c r="D105" s="5" t="s">
        <v>470</v>
      </c>
      <c r="E105" s="14" t="n">
        <v>134.23</v>
      </c>
      <c r="F105" s="20" t="n">
        <v>25</v>
      </c>
      <c r="G105" s="38" t="n">
        <f aca="false">E105/F105</f>
        <v>5.3692</v>
      </c>
      <c r="H105" s="36" t="s">
        <v>451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customFormat="false" ht="15" hidden="false" customHeight="false" outlineLevel="0" collapsed="false">
      <c r="A106" s="5" t="s">
        <v>508</v>
      </c>
      <c r="B106" s="28" t="n">
        <v>46031</v>
      </c>
      <c r="C106" s="5" t="s">
        <v>521</v>
      </c>
      <c r="D106" s="5" t="s">
        <v>470</v>
      </c>
      <c r="E106" s="14" t="n">
        <v>134.23</v>
      </c>
      <c r="F106" s="20" t="n">
        <v>25</v>
      </c>
      <c r="G106" s="38" t="n">
        <f aca="false">E106/F106</f>
        <v>5.3692</v>
      </c>
      <c r="H106" s="36" t="s">
        <v>451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customFormat="false" ht="15" hidden="false" customHeight="false" outlineLevel="0" collapsed="false">
      <c r="A107" s="5" t="s">
        <v>508</v>
      </c>
      <c r="B107" s="28" t="n">
        <v>46209</v>
      </c>
      <c r="C107" s="5" t="s">
        <v>521</v>
      </c>
      <c r="D107" s="5" t="s">
        <v>470</v>
      </c>
      <c r="E107" s="14" t="n">
        <v>134.23</v>
      </c>
      <c r="F107" s="20" t="n">
        <v>25</v>
      </c>
      <c r="G107" s="38" t="n">
        <f aca="false">E107/F107</f>
        <v>5.3692</v>
      </c>
      <c r="H107" s="36" t="s">
        <v>451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customFormat="false" ht="15" hidden="false" customHeight="false" outlineLevel="0" collapsed="false">
      <c r="A108" s="5" t="s">
        <v>508</v>
      </c>
      <c r="B108" s="28" t="n">
        <v>45482</v>
      </c>
      <c r="C108" s="5" t="s">
        <v>522</v>
      </c>
      <c r="D108" s="5" t="s">
        <v>471</v>
      </c>
      <c r="E108" s="14" t="n">
        <v>47.38</v>
      </c>
      <c r="F108" s="20" t="n">
        <v>1</v>
      </c>
      <c r="G108" s="38" t="n">
        <f aca="false">E108/F108</f>
        <v>47.38</v>
      </c>
      <c r="H108" s="36" t="s">
        <v>451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customFormat="false" ht="15" hidden="false" customHeight="false" outlineLevel="0" collapsed="false">
      <c r="A109" s="5" t="s">
        <v>508</v>
      </c>
      <c r="B109" s="28" t="n">
        <v>45744</v>
      </c>
      <c r="C109" s="5" t="s">
        <v>523</v>
      </c>
      <c r="D109" s="5" t="s">
        <v>471</v>
      </c>
      <c r="E109" s="14" t="n">
        <v>47.38</v>
      </c>
      <c r="F109" s="20" t="n">
        <v>1</v>
      </c>
      <c r="G109" s="38" t="n">
        <f aca="false">E109/F109</f>
        <v>47.38</v>
      </c>
      <c r="H109" s="36" t="s">
        <v>451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customFormat="false" ht="15" hidden="false" customHeight="false" outlineLevel="0" collapsed="false">
      <c r="A110" s="5" t="s">
        <v>508</v>
      </c>
      <c r="B110" s="28" t="n">
        <v>45866</v>
      </c>
      <c r="C110" s="5" t="s">
        <v>523</v>
      </c>
      <c r="D110" s="5" t="s">
        <v>471</v>
      </c>
      <c r="E110" s="14" t="n">
        <v>47.38</v>
      </c>
      <c r="F110" s="20" t="n">
        <v>1</v>
      </c>
      <c r="G110" s="38" t="n">
        <f aca="false">E110/F110</f>
        <v>47.38</v>
      </c>
      <c r="H110" s="36" t="s">
        <v>451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customFormat="false" ht="15" hidden="false" customHeight="false" outlineLevel="0" collapsed="false">
      <c r="A111" s="5" t="s">
        <v>508</v>
      </c>
      <c r="B111" s="28" t="n">
        <v>45933</v>
      </c>
      <c r="C111" s="5" t="s">
        <v>523</v>
      </c>
      <c r="D111" s="5" t="s">
        <v>471</v>
      </c>
      <c r="E111" s="14" t="n">
        <v>47.38</v>
      </c>
      <c r="F111" s="20" t="n">
        <v>1</v>
      </c>
      <c r="G111" s="38" t="n">
        <f aca="false">E111/F111</f>
        <v>47.38</v>
      </c>
      <c r="H111" s="36" t="s">
        <v>451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customFormat="false" ht="15" hidden="false" customHeight="false" outlineLevel="0" collapsed="false">
      <c r="A112" s="5" t="s">
        <v>508</v>
      </c>
      <c r="B112" s="28" t="n">
        <v>46031</v>
      </c>
      <c r="C112" s="5" t="s">
        <v>523</v>
      </c>
      <c r="D112" s="5" t="s">
        <v>471</v>
      </c>
      <c r="E112" s="14" t="n">
        <v>47.38</v>
      </c>
      <c r="F112" s="20" t="n">
        <v>1</v>
      </c>
      <c r="G112" s="38" t="n">
        <f aca="false">E112/F112</f>
        <v>47.38</v>
      </c>
      <c r="H112" s="36" t="s">
        <v>451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customFormat="false" ht="15" hidden="false" customHeight="false" outlineLevel="0" collapsed="false">
      <c r="A113" s="5" t="s">
        <v>508</v>
      </c>
      <c r="B113" s="28" t="n">
        <v>46209</v>
      </c>
      <c r="C113" s="5" t="s">
        <v>523</v>
      </c>
      <c r="D113" s="5" t="s">
        <v>471</v>
      </c>
      <c r="E113" s="14" t="n">
        <v>47.38</v>
      </c>
      <c r="F113" s="20" t="n">
        <v>1</v>
      </c>
      <c r="G113" s="38" t="n">
        <f aca="false">E113/F113</f>
        <v>47.38</v>
      </c>
      <c r="H113" s="36" t="s">
        <v>451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customFormat="false" ht="15" hidden="false" customHeight="false" outlineLevel="0" collapsed="false">
      <c r="A114" s="5" t="s">
        <v>508</v>
      </c>
      <c r="B114" s="28" t="n">
        <v>45482</v>
      </c>
      <c r="C114" s="5" t="s">
        <v>522</v>
      </c>
      <c r="D114" s="5" t="s">
        <v>473</v>
      </c>
      <c r="E114" s="14" t="n">
        <v>24.28</v>
      </c>
      <c r="F114" s="20" t="n">
        <v>1</v>
      </c>
      <c r="G114" s="38" t="n">
        <f aca="false">E114/F114</f>
        <v>24.28</v>
      </c>
      <c r="H114" s="36" t="s">
        <v>451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customFormat="false" ht="15" hidden="false" customHeight="false" outlineLevel="0" collapsed="false">
      <c r="A115" s="5" t="s">
        <v>508</v>
      </c>
      <c r="B115" s="28" t="n">
        <v>45744</v>
      </c>
      <c r="C115" s="5" t="s">
        <v>524</v>
      </c>
      <c r="D115" s="5" t="s">
        <v>473</v>
      </c>
      <c r="E115" s="14" t="n">
        <v>24.28</v>
      </c>
      <c r="F115" s="20" t="n">
        <v>1</v>
      </c>
      <c r="G115" s="38" t="n">
        <f aca="false">E115/F115</f>
        <v>24.28</v>
      </c>
      <c r="H115" s="36" t="s">
        <v>451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customFormat="false" ht="15" hidden="false" customHeight="false" outlineLevel="0" collapsed="false">
      <c r="A116" s="5" t="s">
        <v>508</v>
      </c>
      <c r="B116" s="28" t="n">
        <v>45866</v>
      </c>
      <c r="C116" s="5" t="s">
        <v>524</v>
      </c>
      <c r="D116" s="5" t="s">
        <v>473</v>
      </c>
      <c r="E116" s="14" t="n">
        <v>24.28</v>
      </c>
      <c r="F116" s="20" t="n">
        <v>1</v>
      </c>
      <c r="G116" s="38" t="n">
        <f aca="false">E116/F116</f>
        <v>24.28</v>
      </c>
      <c r="H116" s="36" t="s">
        <v>451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customFormat="false" ht="15" hidden="false" customHeight="false" outlineLevel="0" collapsed="false">
      <c r="A117" s="5" t="s">
        <v>508</v>
      </c>
      <c r="B117" s="28" t="n">
        <v>45933</v>
      </c>
      <c r="C117" s="5" t="s">
        <v>524</v>
      </c>
      <c r="D117" s="5" t="s">
        <v>473</v>
      </c>
      <c r="E117" s="14" t="n">
        <v>24.28</v>
      </c>
      <c r="F117" s="20" t="n">
        <v>1</v>
      </c>
      <c r="G117" s="38" t="n">
        <f aca="false">E117/F117</f>
        <v>24.28</v>
      </c>
      <c r="H117" s="36" t="s">
        <v>451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customFormat="false" ht="15" hidden="false" customHeight="false" outlineLevel="0" collapsed="false">
      <c r="A118" s="5" t="s">
        <v>508</v>
      </c>
      <c r="B118" s="28" t="n">
        <v>46031</v>
      </c>
      <c r="C118" s="5" t="s">
        <v>524</v>
      </c>
      <c r="D118" s="5" t="s">
        <v>473</v>
      </c>
      <c r="E118" s="14" t="n">
        <v>24.28</v>
      </c>
      <c r="F118" s="20" t="n">
        <v>1</v>
      </c>
      <c r="G118" s="38" t="n">
        <f aca="false">E118/F118</f>
        <v>24.28</v>
      </c>
      <c r="H118" s="36" t="s">
        <v>451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customFormat="false" ht="15" hidden="false" customHeight="false" outlineLevel="0" collapsed="false">
      <c r="A119" s="5" t="s">
        <v>508</v>
      </c>
      <c r="B119" s="28" t="n">
        <v>46209</v>
      </c>
      <c r="C119" s="5" t="s">
        <v>524</v>
      </c>
      <c r="D119" s="5" t="s">
        <v>473</v>
      </c>
      <c r="E119" s="14" t="n">
        <v>24.28</v>
      </c>
      <c r="F119" s="20" t="n">
        <v>1</v>
      </c>
      <c r="G119" s="38" t="n">
        <f aca="false">E119/F119</f>
        <v>24.28</v>
      </c>
      <c r="H119" s="36" t="s">
        <v>451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</row>
  </sheetData>
  <hyperlinks>
    <hyperlink ref="H6" r:id="rId1" display="PDF"/>
    <hyperlink ref="H7" r:id="rId2" display="PDF"/>
    <hyperlink ref="H8" r:id="rId3" display="PDF"/>
    <hyperlink ref="H9" r:id="rId4" display="PDF"/>
    <hyperlink ref="H10" r:id="rId5" display="PDF"/>
    <hyperlink ref="H11" r:id="rId6" display="PDF"/>
    <hyperlink ref="H12" r:id="rId7" display="PDF"/>
    <hyperlink ref="H13" r:id="rId8" display="PDF"/>
    <hyperlink ref="H14" r:id="rId9" display="PDF"/>
    <hyperlink ref="H15" r:id="rId10" display="PDF"/>
    <hyperlink ref="H16" r:id="rId11" display="PDF"/>
    <hyperlink ref="H17" r:id="rId12" display="PDF"/>
    <hyperlink ref="H18" r:id="rId13" display="PDF"/>
    <hyperlink ref="H19" r:id="rId14" display="PDF"/>
    <hyperlink ref="H20" r:id="rId15" display="PDF"/>
    <hyperlink ref="H21" r:id="rId16" display="PDF"/>
    <hyperlink ref="H22" r:id="rId17" display="PDF"/>
    <hyperlink ref="H23" r:id="rId18" display="PDF"/>
    <hyperlink ref="H24" r:id="rId19" display="PDF"/>
    <hyperlink ref="H25" r:id="rId20" display="PDF"/>
    <hyperlink ref="H26" r:id="rId21" display="PDF"/>
    <hyperlink ref="H27" r:id="rId22" display="PDF"/>
    <hyperlink ref="H28" r:id="rId23" display="PDF"/>
    <hyperlink ref="H29" r:id="rId24" display="PDF"/>
    <hyperlink ref="H30" r:id="rId25" display="PDF"/>
    <hyperlink ref="H31" r:id="rId26" display="PDF"/>
    <hyperlink ref="H32" r:id="rId27" display="PDF"/>
    <hyperlink ref="H33" r:id="rId28" display="PDF"/>
    <hyperlink ref="H34" r:id="rId29" display="PDF"/>
    <hyperlink ref="H35" r:id="rId30" display="PDF"/>
    <hyperlink ref="H36" r:id="rId31" display="PDF"/>
    <hyperlink ref="H37" r:id="rId32" display="PDF"/>
    <hyperlink ref="H38" r:id="rId33" display="PDF"/>
    <hyperlink ref="H39" r:id="rId34" display="PDF"/>
    <hyperlink ref="H40" r:id="rId35" display="PDF"/>
    <hyperlink ref="H41" r:id="rId36" display="PDF"/>
    <hyperlink ref="H42" r:id="rId37" display="PDF"/>
    <hyperlink ref="H43" r:id="rId38" display="PDF"/>
    <hyperlink ref="H44" r:id="rId39" display="PDF"/>
    <hyperlink ref="H45" r:id="rId40" display="PDF"/>
    <hyperlink ref="H46" r:id="rId41" display="PDF"/>
    <hyperlink ref="H47" r:id="rId42" display="PDF"/>
    <hyperlink ref="H48" r:id="rId43" display="PDF"/>
    <hyperlink ref="H49" r:id="rId44" display="PDF"/>
    <hyperlink ref="H50" r:id="rId45" display="PDF"/>
    <hyperlink ref="H51" r:id="rId46" display="PDF"/>
    <hyperlink ref="H52" r:id="rId47" display="PDF"/>
    <hyperlink ref="H53" r:id="rId48" display="PDF"/>
    <hyperlink ref="H54" r:id="rId49" display="PDF"/>
    <hyperlink ref="H55" r:id="rId50" display="PDF"/>
    <hyperlink ref="H56" r:id="rId51" display="PDF"/>
    <hyperlink ref="H57" r:id="rId52" display="PDF"/>
    <hyperlink ref="H58" r:id="rId53" display="PDF"/>
    <hyperlink ref="H59" r:id="rId54" display="PDF"/>
    <hyperlink ref="H60" r:id="rId55" display="PDF"/>
    <hyperlink ref="H61" r:id="rId56" display="PDF"/>
    <hyperlink ref="H62" r:id="rId57" display="PDF"/>
    <hyperlink ref="H63" r:id="rId58" display="PDF"/>
    <hyperlink ref="H64" r:id="rId59" display="PDF"/>
    <hyperlink ref="H65" r:id="rId60" display="PDF"/>
    <hyperlink ref="H66" r:id="rId61" display="PDF"/>
    <hyperlink ref="H67" r:id="rId62" display="PDF"/>
    <hyperlink ref="H68" r:id="rId63" display="PDF"/>
    <hyperlink ref="H69" r:id="rId64" display="PDF"/>
    <hyperlink ref="H70" r:id="rId65" display="PDF"/>
    <hyperlink ref="H71" r:id="rId66" display="PDF"/>
    <hyperlink ref="H72" r:id="rId67" display="PDF"/>
    <hyperlink ref="H73" r:id="rId68" display="PDF"/>
    <hyperlink ref="H74" r:id="rId69" display="PDF"/>
    <hyperlink ref="H75" r:id="rId70" display="PDF"/>
    <hyperlink ref="H76" r:id="rId71" display="PDF"/>
    <hyperlink ref="H77" r:id="rId72" display="PDF"/>
    <hyperlink ref="H78" r:id="rId73" display="PDF"/>
    <hyperlink ref="H79" r:id="rId74" display="PDF"/>
    <hyperlink ref="H80" r:id="rId75" display="PDF"/>
    <hyperlink ref="H81" r:id="rId76" display="PDF"/>
    <hyperlink ref="H82" r:id="rId77" display="PDF"/>
    <hyperlink ref="H83" r:id="rId78" display="PDF"/>
    <hyperlink ref="H84" r:id="rId79" display="PDF"/>
    <hyperlink ref="H85" r:id="rId80" display="PDF"/>
    <hyperlink ref="H86" r:id="rId81" display="PDF"/>
    <hyperlink ref="H87" r:id="rId82" display="PDF"/>
    <hyperlink ref="H88" r:id="rId83" display="PDF"/>
    <hyperlink ref="H89" r:id="rId84" display="PDF"/>
    <hyperlink ref="H90" r:id="rId85" display="PDF"/>
    <hyperlink ref="H91" r:id="rId86" display="PDF"/>
    <hyperlink ref="H92" r:id="rId87" display="PDF"/>
    <hyperlink ref="H93" r:id="rId88" display="PDF"/>
    <hyperlink ref="H94" r:id="rId89" display="PDF"/>
    <hyperlink ref="H95" r:id="rId90" display="PDF"/>
    <hyperlink ref="H96" r:id="rId91" display="PDF"/>
    <hyperlink ref="H97" r:id="rId92" display="PDF"/>
    <hyperlink ref="H98" r:id="rId93" display="PDF"/>
    <hyperlink ref="H99" r:id="rId94" display="PDF"/>
    <hyperlink ref="H100" r:id="rId95" display="PDF"/>
    <hyperlink ref="H101" r:id="rId96" display="PDF"/>
    <hyperlink ref="H102" r:id="rId97" display="PDF"/>
    <hyperlink ref="H103" r:id="rId98" display="PDF"/>
    <hyperlink ref="H104" r:id="rId99" display="PDF"/>
    <hyperlink ref="H105" r:id="rId100" display="PDF"/>
    <hyperlink ref="H106" r:id="rId101" display="PDF"/>
    <hyperlink ref="H107" r:id="rId102" display="PDF"/>
    <hyperlink ref="H108" r:id="rId103" display="PDF"/>
    <hyperlink ref="H109" r:id="rId104" display="PDF"/>
    <hyperlink ref="H110" r:id="rId105" display="PDF"/>
    <hyperlink ref="H111" r:id="rId106" display="PDF"/>
    <hyperlink ref="H112" r:id="rId107" display="PDF"/>
    <hyperlink ref="H113" r:id="rId108" display="PDF"/>
    <hyperlink ref="H114" r:id="rId109" display="PDF"/>
    <hyperlink ref="H115" r:id="rId110" display="PDF"/>
    <hyperlink ref="H116" r:id="rId111" display="PDF"/>
    <hyperlink ref="H117" r:id="rId112" display="PDF"/>
    <hyperlink ref="H118" r:id="rId113" display="PDF"/>
    <hyperlink ref="H119" r:id="rId114" display="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525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526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23.85" hidden="false" customHeight="false" outlineLevel="0" collapsed="false">
      <c r="A5" s="10" t="s">
        <v>527</v>
      </c>
      <c r="B5" s="10" t="s">
        <v>528</v>
      </c>
      <c r="C5" s="10" t="s">
        <v>529</v>
      </c>
      <c r="D5" s="10" t="s">
        <v>530</v>
      </c>
      <c r="E5" s="10" t="s">
        <v>531</v>
      </c>
      <c r="F5" s="10" t="s">
        <v>532</v>
      </c>
      <c r="G5" s="10" t="s">
        <v>439</v>
      </c>
    </row>
    <row r="6" customFormat="false" ht="15" hidden="false" customHeight="false" outlineLevel="0" collapsed="false">
      <c r="A6" s="5" t="s">
        <v>533</v>
      </c>
      <c r="B6" s="5" t="s">
        <v>534</v>
      </c>
      <c r="C6" s="5" t="s">
        <v>535</v>
      </c>
      <c r="D6" s="5" t="s">
        <v>536</v>
      </c>
      <c r="E6" s="44" t="n">
        <v>6.9022</v>
      </c>
      <c r="F6" s="28" t="n">
        <v>46316</v>
      </c>
      <c r="G6" s="6" t="s">
        <v>537</v>
      </c>
    </row>
    <row r="7" customFormat="false" ht="15" hidden="false" customHeight="false" outlineLevel="0" collapsed="false">
      <c r="A7" s="5" t="s">
        <v>533</v>
      </c>
      <c r="B7" s="5" t="s">
        <v>538</v>
      </c>
      <c r="C7" s="5" t="s">
        <v>535</v>
      </c>
      <c r="D7" s="5" t="s">
        <v>536</v>
      </c>
      <c r="E7" s="44" t="n">
        <v>6.9022</v>
      </c>
      <c r="F7" s="28" t="n">
        <v>46316</v>
      </c>
      <c r="G7" s="6" t="s">
        <v>537</v>
      </c>
    </row>
    <row r="8" customFormat="false" ht="15" hidden="false" customHeight="false" outlineLevel="0" collapsed="false">
      <c r="A8" s="5" t="s">
        <v>539</v>
      </c>
      <c r="B8" s="5" t="s">
        <v>540</v>
      </c>
      <c r="C8" s="5" t="s">
        <v>535</v>
      </c>
      <c r="D8" s="5" t="s">
        <v>536</v>
      </c>
      <c r="E8" s="44" t="n">
        <v>11.64531</v>
      </c>
      <c r="F8" s="28" t="n">
        <v>46316</v>
      </c>
      <c r="G8" s="6" t="s">
        <v>537</v>
      </c>
    </row>
    <row r="9" customFormat="false" ht="15" hidden="false" customHeight="false" outlineLevel="0" collapsed="false">
      <c r="A9" s="5" t="s">
        <v>541</v>
      </c>
      <c r="B9" s="5" t="s">
        <v>542</v>
      </c>
      <c r="C9" s="5" t="s">
        <v>543</v>
      </c>
      <c r="D9" s="5" t="s">
        <v>544</v>
      </c>
      <c r="E9" s="44" t="n">
        <v>14.45933</v>
      </c>
      <c r="F9" s="28" t="n">
        <v>46316</v>
      </c>
      <c r="G9" s="6" t="s">
        <v>537</v>
      </c>
    </row>
    <row r="10" customFormat="false" ht="15" hidden="false" customHeight="false" outlineLevel="0" collapsed="false">
      <c r="A10" s="5" t="s">
        <v>541</v>
      </c>
      <c r="B10" s="5" t="s">
        <v>545</v>
      </c>
      <c r="C10" s="5" t="s">
        <v>543</v>
      </c>
      <c r="D10" s="5" t="s">
        <v>544</v>
      </c>
      <c r="E10" s="44" t="n">
        <v>14.45933</v>
      </c>
      <c r="F10" s="28" t="n">
        <v>46316</v>
      </c>
      <c r="G10" s="6" t="s">
        <v>537</v>
      </c>
    </row>
    <row r="11" customFormat="false" ht="15" hidden="false" customHeight="false" outlineLevel="0" collapsed="false">
      <c r="A11" s="5" t="s">
        <v>541</v>
      </c>
      <c r="B11" s="5" t="s">
        <v>546</v>
      </c>
      <c r="C11" s="5" t="s">
        <v>543</v>
      </c>
      <c r="D11" s="5" t="s">
        <v>544</v>
      </c>
      <c r="E11" s="44" t="n">
        <v>14.45933</v>
      </c>
      <c r="F11" s="28" t="n">
        <v>46316</v>
      </c>
      <c r="G11" s="6" t="s">
        <v>537</v>
      </c>
    </row>
    <row r="12" customFormat="false" ht="15" hidden="false" customHeight="false" outlineLevel="0" collapsed="false">
      <c r="A12" s="5" t="s">
        <v>547</v>
      </c>
      <c r="B12" s="5" t="s">
        <v>548</v>
      </c>
      <c r="C12" s="5" t="s">
        <v>535</v>
      </c>
      <c r="D12" s="5" t="s">
        <v>544</v>
      </c>
      <c r="E12" s="44" t="n">
        <v>7.49</v>
      </c>
      <c r="F12" s="28" t="n">
        <v>46316</v>
      </c>
      <c r="G12" s="6" t="s">
        <v>537</v>
      </c>
    </row>
    <row r="13" customFormat="false" ht="15" hidden="false" customHeight="false" outlineLevel="0" collapsed="false">
      <c r="A13" s="5" t="s">
        <v>547</v>
      </c>
      <c r="B13" s="5" t="s">
        <v>549</v>
      </c>
      <c r="C13" s="5" t="s">
        <v>535</v>
      </c>
      <c r="D13" s="5" t="s">
        <v>544</v>
      </c>
      <c r="E13" s="44" t="n">
        <v>7.49</v>
      </c>
      <c r="F13" s="28" t="n">
        <v>46316</v>
      </c>
      <c r="G13" s="6" t="s">
        <v>537</v>
      </c>
    </row>
    <row r="14" customFormat="false" ht="15" hidden="false" customHeight="false" outlineLevel="0" collapsed="false">
      <c r="A14" s="5" t="s">
        <v>550</v>
      </c>
      <c r="B14" s="5" t="s">
        <v>551</v>
      </c>
      <c r="C14" s="5" t="s">
        <v>535</v>
      </c>
      <c r="D14" s="5" t="s">
        <v>544</v>
      </c>
      <c r="E14" s="44" t="n">
        <v>5.5662</v>
      </c>
      <c r="F14" s="28" t="n">
        <v>46316</v>
      </c>
      <c r="G14" s="6" t="s">
        <v>537</v>
      </c>
    </row>
    <row r="15" customFormat="false" ht="15" hidden="false" customHeight="false" outlineLevel="0" collapsed="false">
      <c r="A15" s="5" t="s">
        <v>550</v>
      </c>
      <c r="B15" s="5" t="s">
        <v>552</v>
      </c>
      <c r="C15" s="5" t="s">
        <v>535</v>
      </c>
      <c r="D15" s="5" t="s">
        <v>544</v>
      </c>
      <c r="E15" s="44" t="n">
        <v>5.5662</v>
      </c>
      <c r="F15" s="28" t="n">
        <v>46316</v>
      </c>
      <c r="G15" s="6" t="s">
        <v>537</v>
      </c>
    </row>
    <row r="16" customFormat="false" ht="15" hidden="false" customHeight="false" outlineLevel="0" collapsed="false">
      <c r="A16" s="5" t="s">
        <v>550</v>
      </c>
      <c r="B16" s="5" t="s">
        <v>553</v>
      </c>
      <c r="C16" s="5" t="s">
        <v>535</v>
      </c>
      <c r="D16" s="5" t="s">
        <v>544</v>
      </c>
      <c r="E16" s="44" t="n">
        <v>5.5662</v>
      </c>
      <c r="F16" s="28" t="n">
        <v>46316</v>
      </c>
      <c r="G16" s="6" t="s">
        <v>537</v>
      </c>
    </row>
    <row r="17" customFormat="false" ht="15" hidden="false" customHeight="false" outlineLevel="0" collapsed="false">
      <c r="A17" s="5" t="s">
        <v>550</v>
      </c>
      <c r="B17" s="5" t="s">
        <v>554</v>
      </c>
      <c r="C17" s="5" t="s">
        <v>535</v>
      </c>
      <c r="D17" s="5" t="s">
        <v>544</v>
      </c>
      <c r="E17" s="44" t="n">
        <v>5.5662</v>
      </c>
      <c r="F17" s="28" t="n">
        <v>46316</v>
      </c>
      <c r="G17" s="6" t="s">
        <v>537</v>
      </c>
    </row>
    <row r="18" customFormat="false" ht="15" hidden="false" customHeight="false" outlineLevel="0" collapsed="false">
      <c r="A18" s="5" t="s">
        <v>550</v>
      </c>
      <c r="B18" s="5" t="s">
        <v>555</v>
      </c>
      <c r="C18" s="5" t="s">
        <v>535</v>
      </c>
      <c r="D18" s="5" t="s">
        <v>544</v>
      </c>
      <c r="E18" s="44" t="n">
        <v>5.5662</v>
      </c>
      <c r="F18" s="28" t="n">
        <v>46316</v>
      </c>
      <c r="G18" s="6" t="s">
        <v>537</v>
      </c>
    </row>
    <row r="19" customFormat="false" ht="15" hidden="false" customHeight="false" outlineLevel="0" collapsed="false">
      <c r="A19" s="5" t="s">
        <v>556</v>
      </c>
      <c r="B19" s="5" t="s">
        <v>557</v>
      </c>
      <c r="C19" s="5" t="s">
        <v>535</v>
      </c>
      <c r="D19" s="5" t="s">
        <v>544</v>
      </c>
      <c r="E19" s="44" t="n">
        <v>11.92429</v>
      </c>
      <c r="F19" s="28" t="n">
        <v>46225</v>
      </c>
      <c r="G19" s="6" t="s">
        <v>537</v>
      </c>
    </row>
    <row r="20" customFormat="false" ht="15" hidden="false" customHeight="false" outlineLevel="0" collapsed="false">
      <c r="A20" s="5" t="s">
        <v>556</v>
      </c>
      <c r="B20" s="5" t="s">
        <v>558</v>
      </c>
      <c r="C20" s="5" t="s">
        <v>535</v>
      </c>
      <c r="D20" s="5" t="s">
        <v>544</v>
      </c>
      <c r="E20" s="44" t="n">
        <v>11.92429</v>
      </c>
      <c r="F20" s="28" t="n">
        <v>46225</v>
      </c>
      <c r="G20" s="6" t="s">
        <v>537</v>
      </c>
    </row>
    <row r="21" customFormat="false" ht="15" hidden="false" customHeight="false" outlineLevel="0" collapsed="false">
      <c r="A21" s="5" t="s">
        <v>556</v>
      </c>
      <c r="B21" s="5" t="s">
        <v>559</v>
      </c>
      <c r="C21" s="5" t="s">
        <v>535</v>
      </c>
      <c r="D21" s="5" t="s">
        <v>544</v>
      </c>
      <c r="E21" s="44" t="n">
        <v>11.92429</v>
      </c>
      <c r="F21" s="28" t="n">
        <v>46225</v>
      </c>
      <c r="G21" s="6" t="s">
        <v>537</v>
      </c>
    </row>
    <row r="22" customFormat="false" ht="15" hidden="false" customHeight="false" outlineLevel="0" collapsed="false">
      <c r="A22" s="5" t="s">
        <v>560</v>
      </c>
      <c r="B22" s="5" t="s">
        <v>561</v>
      </c>
      <c r="C22" s="5" t="s">
        <v>543</v>
      </c>
      <c r="D22" s="5" t="s">
        <v>544</v>
      </c>
      <c r="E22" s="44" t="n">
        <v>3.26552</v>
      </c>
      <c r="F22" s="28" t="n">
        <v>46316</v>
      </c>
      <c r="G22" s="6" t="s">
        <v>537</v>
      </c>
    </row>
    <row r="23" customFormat="false" ht="15" hidden="false" customHeight="false" outlineLevel="0" collapsed="false">
      <c r="A23" s="5" t="s">
        <v>560</v>
      </c>
      <c r="B23" s="5" t="s">
        <v>562</v>
      </c>
      <c r="C23" s="5" t="s">
        <v>543</v>
      </c>
      <c r="D23" s="5" t="s">
        <v>544</v>
      </c>
      <c r="E23" s="44" t="n">
        <v>3.26552</v>
      </c>
      <c r="F23" s="28" t="n">
        <v>46316</v>
      </c>
      <c r="G23" s="6" t="s">
        <v>537</v>
      </c>
    </row>
    <row r="24" customFormat="false" ht="15" hidden="false" customHeight="false" outlineLevel="0" collapsed="false">
      <c r="A24" s="5" t="s">
        <v>560</v>
      </c>
      <c r="B24" s="5" t="s">
        <v>563</v>
      </c>
      <c r="C24" s="5" t="s">
        <v>543</v>
      </c>
      <c r="D24" s="5" t="s">
        <v>544</v>
      </c>
      <c r="E24" s="44" t="n">
        <v>3.26552</v>
      </c>
      <c r="F24" s="28" t="n">
        <v>46316</v>
      </c>
      <c r="G24" s="6" t="s">
        <v>537</v>
      </c>
    </row>
    <row r="25" customFormat="false" ht="15" hidden="false" customHeight="false" outlineLevel="0" collapsed="false">
      <c r="A25" s="5" t="s">
        <v>458</v>
      </c>
      <c r="B25" s="5" t="s">
        <v>564</v>
      </c>
      <c r="C25" s="5" t="s">
        <v>543</v>
      </c>
      <c r="D25" s="5" t="s">
        <v>536</v>
      </c>
      <c r="E25" s="44" t="n">
        <v>25.52679</v>
      </c>
      <c r="F25" s="28" t="n">
        <v>46204</v>
      </c>
      <c r="G25" s="6" t="s">
        <v>537</v>
      </c>
    </row>
    <row r="26" customFormat="false" ht="15" hidden="false" customHeight="false" outlineLevel="0" collapsed="false">
      <c r="A26" s="5" t="s">
        <v>458</v>
      </c>
      <c r="B26" s="5" t="s">
        <v>565</v>
      </c>
      <c r="C26" s="5" t="s">
        <v>543</v>
      </c>
      <c r="D26" s="5" t="s">
        <v>536</v>
      </c>
      <c r="E26" s="44" t="n">
        <v>24.68317</v>
      </c>
      <c r="F26" s="28" t="n">
        <v>46204</v>
      </c>
      <c r="G26" s="6" t="s">
        <v>537</v>
      </c>
    </row>
    <row r="27" customFormat="false" ht="15" hidden="false" customHeight="false" outlineLevel="0" collapsed="false">
      <c r="A27" s="5" t="s">
        <v>472</v>
      </c>
      <c r="B27" s="5" t="s">
        <v>566</v>
      </c>
      <c r="C27" s="5" t="s">
        <v>543</v>
      </c>
      <c r="D27" s="5" t="s">
        <v>536</v>
      </c>
      <c r="E27" s="44" t="n">
        <v>25.72673</v>
      </c>
      <c r="F27" s="28" t="n">
        <v>46296</v>
      </c>
      <c r="G27" s="6" t="s">
        <v>537</v>
      </c>
    </row>
    <row r="28" customFormat="false" ht="15" hidden="false" customHeight="false" outlineLevel="0" collapsed="false">
      <c r="A28" s="5" t="s">
        <v>479</v>
      </c>
      <c r="B28" s="5" t="s">
        <v>567</v>
      </c>
      <c r="C28" s="5" t="s">
        <v>543</v>
      </c>
      <c r="D28" s="5" t="s">
        <v>536</v>
      </c>
      <c r="E28" s="44" t="n">
        <v>51.43208</v>
      </c>
      <c r="F28" s="28" t="n">
        <v>46204</v>
      </c>
      <c r="G28" s="6" t="s">
        <v>537</v>
      </c>
    </row>
    <row r="29" customFormat="false" ht="15" hidden="false" customHeight="false" outlineLevel="0" collapsed="false">
      <c r="A29" s="5" t="s">
        <v>514</v>
      </c>
      <c r="B29" s="5" t="s">
        <v>568</v>
      </c>
      <c r="C29" s="5" t="s">
        <v>543</v>
      </c>
      <c r="D29" s="5" t="s">
        <v>536</v>
      </c>
      <c r="E29" s="44" t="n">
        <v>10.04043</v>
      </c>
      <c r="F29" s="28" t="n">
        <v>46316</v>
      </c>
      <c r="G29" s="6" t="s">
        <v>537</v>
      </c>
    </row>
    <row r="30" customFormat="false" ht="15" hidden="false" customHeight="false" outlineLevel="0" collapsed="false">
      <c r="A30" s="5" t="s">
        <v>519</v>
      </c>
      <c r="B30" s="5" t="s">
        <v>569</v>
      </c>
      <c r="C30" s="5" t="s">
        <v>543</v>
      </c>
      <c r="D30" s="5" t="s">
        <v>536</v>
      </c>
      <c r="E30" s="44" t="n">
        <v>6.28128</v>
      </c>
      <c r="F30" s="28" t="n">
        <v>46253</v>
      </c>
      <c r="G30" s="6" t="s">
        <v>537</v>
      </c>
    </row>
    <row r="31" customFormat="false" ht="15" hidden="false" customHeight="false" outlineLevel="0" collapsed="false">
      <c r="A31" s="5" t="s">
        <v>519</v>
      </c>
      <c r="B31" s="5" t="s">
        <v>570</v>
      </c>
      <c r="C31" s="5" t="s">
        <v>543</v>
      </c>
      <c r="D31" s="5" t="s">
        <v>536</v>
      </c>
      <c r="E31" s="44" t="n">
        <v>6.28128</v>
      </c>
      <c r="F31" s="28" t="n">
        <v>46253</v>
      </c>
      <c r="G31" s="6" t="s">
        <v>537</v>
      </c>
    </row>
    <row r="32" customFormat="false" ht="15" hidden="false" customHeight="false" outlineLevel="0" collapsed="false">
      <c r="A32" s="5" t="s">
        <v>519</v>
      </c>
      <c r="B32" s="5" t="s">
        <v>571</v>
      </c>
      <c r="C32" s="5" t="s">
        <v>543</v>
      </c>
      <c r="D32" s="5" t="s">
        <v>536</v>
      </c>
      <c r="E32" s="44" t="n">
        <v>6.28128</v>
      </c>
      <c r="F32" s="28" t="n">
        <v>46253</v>
      </c>
      <c r="G32" s="6" t="s">
        <v>537</v>
      </c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</row>
    <row r="35" customFormat="false" ht="15" hidden="false" customHeight="false" outlineLevel="0" collapsed="false">
      <c r="A35" s="4" t="s">
        <v>572</v>
      </c>
      <c r="B35" s="2"/>
      <c r="C35" s="2"/>
      <c r="D35" s="2"/>
      <c r="E35" s="2"/>
      <c r="F35" s="2"/>
      <c r="G35" s="2"/>
    </row>
    <row r="36" customFormat="false" ht="15" hidden="false" customHeight="false" outlineLevel="0" collapsed="false">
      <c r="A36" s="10" t="s">
        <v>420</v>
      </c>
      <c r="B36" s="10"/>
      <c r="C36" s="10"/>
      <c r="D36" s="10"/>
      <c r="E36" s="10" t="s">
        <v>151</v>
      </c>
      <c r="F36" s="2"/>
      <c r="G36" s="2"/>
    </row>
    <row r="37" customFormat="false" ht="15" hidden="false" customHeight="false" outlineLevel="0" collapsed="false">
      <c r="A37" s="6" t="s">
        <v>573</v>
      </c>
      <c r="B37" s="2"/>
      <c r="C37" s="2"/>
      <c r="D37" s="2"/>
      <c r="E37" s="40" t="n">
        <f aca="false">E22/E29</f>
        <v>0.325237066539979</v>
      </c>
      <c r="F37" s="2"/>
      <c r="G37" s="2"/>
    </row>
    <row r="38" customFormat="false" ht="15" hidden="false" customHeight="false" outlineLevel="0" collapsed="false">
      <c r="A38" s="6" t="s">
        <v>574</v>
      </c>
      <c r="B38" s="2"/>
      <c r="C38" s="2"/>
      <c r="D38" s="2"/>
      <c r="E38" s="40" t="n">
        <f aca="false">E9/E25</f>
        <v>0.566437456491788</v>
      </c>
      <c r="F38" s="2"/>
      <c r="G38" s="2"/>
    </row>
    <row r="39" customFormat="false" ht="15" hidden="false" customHeight="false" outlineLevel="0" collapsed="false">
      <c r="A39" s="6" t="s">
        <v>575</v>
      </c>
      <c r="B39" s="2"/>
      <c r="C39" s="2"/>
      <c r="D39" s="2"/>
      <c r="E39" s="40" t="n">
        <f aca="false">E9/E27</f>
        <v>0.562035283924541</v>
      </c>
      <c r="F39" s="2"/>
      <c r="G39" s="2"/>
    </row>
    <row r="40" customFormat="false" ht="15" hidden="false" customHeight="false" outlineLevel="0" collapsed="false">
      <c r="A40" s="6" t="s">
        <v>576</v>
      </c>
      <c r="B40" s="2"/>
      <c r="C40" s="2"/>
      <c r="D40" s="2"/>
      <c r="E40" s="40" t="n">
        <f aca="false">E12/E6</f>
        <v>1.08516125293385</v>
      </c>
      <c r="F40" s="2"/>
      <c r="G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8"/>
  </cols>
  <sheetData>
    <row r="1" customFormat="false" ht="17.35" hidden="false" customHeight="false" outlineLevel="0" collapsed="false">
      <c r="A1" s="1" t="s">
        <v>577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578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35.05" hidden="false" customHeight="false" outlineLevel="0" collapsed="false">
      <c r="A5" s="10" t="s">
        <v>528</v>
      </c>
      <c r="B5" s="10" t="s">
        <v>225</v>
      </c>
      <c r="C5" s="10" t="s">
        <v>579</v>
      </c>
      <c r="D5" s="10" t="s">
        <v>580</v>
      </c>
      <c r="E5" s="10" t="s">
        <v>581</v>
      </c>
      <c r="F5" s="10" t="s">
        <v>582</v>
      </c>
      <c r="G5" s="10" t="s">
        <v>583</v>
      </c>
      <c r="H5" s="10" t="s">
        <v>584</v>
      </c>
      <c r="I5" s="10" t="s">
        <v>439</v>
      </c>
    </row>
    <row r="6" customFormat="false" ht="15" hidden="false" customHeight="false" outlineLevel="0" collapsed="false">
      <c r="A6" s="5" t="s">
        <v>585</v>
      </c>
      <c r="B6" s="5" t="s">
        <v>265</v>
      </c>
      <c r="C6" s="5" t="s">
        <v>586</v>
      </c>
      <c r="D6" s="5" t="s">
        <v>587</v>
      </c>
      <c r="E6" s="5" t="s">
        <v>588</v>
      </c>
      <c r="F6" s="45" t="n">
        <v>2010.9</v>
      </c>
      <c r="G6" s="24" t="n">
        <v>2544</v>
      </c>
      <c r="H6" s="46" t="n">
        <v>148091.13</v>
      </c>
      <c r="I6" s="6" t="s">
        <v>589</v>
      </c>
    </row>
    <row r="7" customFormat="false" ht="15" hidden="false" customHeight="false" outlineLevel="0" collapsed="false">
      <c r="A7" s="5" t="s">
        <v>585</v>
      </c>
      <c r="B7" s="5" t="s">
        <v>278</v>
      </c>
      <c r="C7" s="5" t="s">
        <v>586</v>
      </c>
      <c r="D7" s="5" t="s">
        <v>587</v>
      </c>
      <c r="E7" s="5" t="s">
        <v>588</v>
      </c>
      <c r="F7" s="45" t="n">
        <v>1715.1</v>
      </c>
      <c r="G7" s="24" t="n">
        <v>2788</v>
      </c>
      <c r="H7" s="46" t="n">
        <v>119413.91</v>
      </c>
      <c r="I7" s="6" t="s">
        <v>590</v>
      </c>
    </row>
    <row r="8" customFormat="false" ht="15" hidden="false" customHeight="false" outlineLevel="0" collapsed="false">
      <c r="A8" s="5" t="s">
        <v>585</v>
      </c>
      <c r="B8" s="5" t="s">
        <v>291</v>
      </c>
      <c r="C8" s="5" t="s">
        <v>586</v>
      </c>
      <c r="D8" s="5" t="s">
        <v>587</v>
      </c>
      <c r="E8" s="5" t="s">
        <v>588</v>
      </c>
      <c r="F8" s="45" t="n">
        <v>1721</v>
      </c>
      <c r="G8" s="24" t="n">
        <v>1921</v>
      </c>
      <c r="H8" s="46" t="n">
        <v>58967.35</v>
      </c>
      <c r="I8" s="6" t="s">
        <v>591</v>
      </c>
    </row>
    <row r="9" customFormat="false" ht="15" hidden="false" customHeight="false" outlineLevel="0" collapsed="false">
      <c r="A9" s="5" t="s">
        <v>585</v>
      </c>
      <c r="B9" s="5" t="s">
        <v>304</v>
      </c>
      <c r="C9" s="5" t="s">
        <v>586</v>
      </c>
      <c r="D9" s="5" t="s">
        <v>587</v>
      </c>
      <c r="E9" s="5" t="s">
        <v>588</v>
      </c>
      <c r="F9" s="45" t="n">
        <v>1579.7</v>
      </c>
      <c r="G9" s="24" t="n">
        <v>1843</v>
      </c>
      <c r="H9" s="46" t="n">
        <v>92092.28</v>
      </c>
      <c r="I9" s="6" t="s">
        <v>592</v>
      </c>
    </row>
    <row r="10" customFormat="false" ht="15" hidden="false" customHeight="false" outlineLevel="0" collapsed="false">
      <c r="A10" s="5" t="s">
        <v>585</v>
      </c>
      <c r="B10" s="5" t="s">
        <v>317</v>
      </c>
      <c r="C10" s="5" t="s">
        <v>586</v>
      </c>
      <c r="D10" s="5" t="s">
        <v>587</v>
      </c>
      <c r="E10" s="5" t="s">
        <v>588</v>
      </c>
      <c r="F10" s="45" t="n">
        <v>1412.4</v>
      </c>
      <c r="G10" s="24" t="n">
        <v>1631</v>
      </c>
      <c r="H10" s="46" t="n">
        <v>85188.79</v>
      </c>
      <c r="I10" s="6" t="s">
        <v>593</v>
      </c>
    </row>
    <row r="11" customFormat="false" ht="15" hidden="false" customHeight="false" outlineLevel="0" collapsed="false">
      <c r="A11" s="5" t="s">
        <v>585</v>
      </c>
      <c r="B11" s="5" t="s">
        <v>330</v>
      </c>
      <c r="C11" s="5" t="s">
        <v>586</v>
      </c>
      <c r="D11" s="5" t="s">
        <v>587</v>
      </c>
      <c r="E11" s="5" t="s">
        <v>588</v>
      </c>
      <c r="F11" s="45" t="n">
        <v>877.1</v>
      </c>
      <c r="G11" s="24" t="n">
        <v>1509</v>
      </c>
      <c r="H11" s="46" t="n">
        <v>57815.14</v>
      </c>
      <c r="I11" s="6" t="s">
        <v>594</v>
      </c>
    </row>
    <row r="12" customFormat="false" ht="15" hidden="false" customHeight="false" outlineLevel="0" collapsed="false">
      <c r="A12" s="5" t="s">
        <v>585</v>
      </c>
      <c r="B12" s="5" t="s">
        <v>343</v>
      </c>
      <c r="C12" s="5" t="s">
        <v>586</v>
      </c>
      <c r="D12" s="5" t="s">
        <v>587</v>
      </c>
      <c r="E12" s="5" t="s">
        <v>588</v>
      </c>
      <c r="F12" s="45" t="n">
        <v>3093.2</v>
      </c>
      <c r="G12" s="24" t="n">
        <v>1150</v>
      </c>
      <c r="H12" s="46" t="n">
        <v>42268.17</v>
      </c>
      <c r="I12" s="6" t="s">
        <v>595</v>
      </c>
    </row>
    <row r="13" customFormat="false" ht="15" hidden="false" customHeight="false" outlineLevel="0" collapsed="false">
      <c r="A13" s="5" t="s">
        <v>585</v>
      </c>
      <c r="B13" s="5" t="s">
        <v>356</v>
      </c>
      <c r="C13" s="5" t="s">
        <v>586</v>
      </c>
      <c r="D13" s="5" t="s">
        <v>587</v>
      </c>
      <c r="E13" s="5" t="s">
        <v>588</v>
      </c>
      <c r="F13" s="45" t="n">
        <v>11424.3</v>
      </c>
      <c r="G13" s="24" t="n">
        <v>1551</v>
      </c>
      <c r="H13" s="46" t="n">
        <v>104068.14</v>
      </c>
      <c r="I13" s="6" t="s">
        <v>596</v>
      </c>
    </row>
    <row r="14" customFormat="false" ht="15" hidden="false" customHeight="false" outlineLevel="0" collapsed="false">
      <c r="A14" s="5" t="s">
        <v>585</v>
      </c>
      <c r="B14" s="5" t="s">
        <v>369</v>
      </c>
      <c r="C14" s="5" t="s">
        <v>586</v>
      </c>
      <c r="D14" s="5" t="s">
        <v>587</v>
      </c>
      <c r="E14" s="5" t="s">
        <v>588</v>
      </c>
      <c r="F14" s="45" t="n">
        <v>500.9</v>
      </c>
      <c r="G14" s="24" t="n">
        <v>242</v>
      </c>
      <c r="H14" s="46" t="n">
        <v>42499.71</v>
      </c>
      <c r="I14" s="6" t="s">
        <v>597</v>
      </c>
    </row>
    <row r="15" customFormat="false" ht="15" hidden="false" customHeight="false" outlineLevel="0" collapsed="false">
      <c r="A15" s="5" t="s">
        <v>598</v>
      </c>
      <c r="B15" s="5" t="s">
        <v>265</v>
      </c>
      <c r="C15" s="5" t="s">
        <v>586</v>
      </c>
      <c r="D15" s="5" t="s">
        <v>599</v>
      </c>
      <c r="E15" s="5" t="s">
        <v>600</v>
      </c>
      <c r="F15" s="45" t="n">
        <v>52.7</v>
      </c>
      <c r="G15" s="24" t="n">
        <v>163</v>
      </c>
      <c r="H15" s="46" t="n">
        <v>301782.16</v>
      </c>
      <c r="I15" s="6" t="s">
        <v>589</v>
      </c>
    </row>
    <row r="16" customFormat="false" ht="15" hidden="false" customHeight="false" outlineLevel="0" collapsed="false">
      <c r="A16" s="5" t="s">
        <v>598</v>
      </c>
      <c r="B16" s="5" t="s">
        <v>278</v>
      </c>
      <c r="C16" s="5" t="s">
        <v>586</v>
      </c>
      <c r="D16" s="5" t="s">
        <v>599</v>
      </c>
      <c r="E16" s="5" t="s">
        <v>600</v>
      </c>
      <c r="F16" s="45" t="n">
        <v>43.9</v>
      </c>
      <c r="G16" s="24" t="n">
        <v>107</v>
      </c>
      <c r="H16" s="46" t="n">
        <v>122810.69</v>
      </c>
      <c r="I16" s="6" t="s">
        <v>590</v>
      </c>
    </row>
    <row r="17" customFormat="false" ht="15" hidden="false" customHeight="false" outlineLevel="0" collapsed="false">
      <c r="A17" s="5" t="s">
        <v>598</v>
      </c>
      <c r="B17" s="5" t="s">
        <v>291</v>
      </c>
      <c r="C17" s="5" t="s">
        <v>586</v>
      </c>
      <c r="D17" s="5" t="s">
        <v>599</v>
      </c>
      <c r="E17" s="5" t="s">
        <v>600</v>
      </c>
      <c r="F17" s="45" t="n">
        <v>61.2</v>
      </c>
      <c r="G17" s="24" t="n">
        <v>129</v>
      </c>
      <c r="H17" s="46" t="n">
        <v>6132.43</v>
      </c>
      <c r="I17" s="6" t="s">
        <v>591</v>
      </c>
    </row>
    <row r="18" customFormat="false" ht="15" hidden="false" customHeight="false" outlineLevel="0" collapsed="false">
      <c r="A18" s="5" t="s">
        <v>598</v>
      </c>
      <c r="B18" s="5" t="s">
        <v>304</v>
      </c>
      <c r="C18" s="5" t="s">
        <v>586</v>
      </c>
      <c r="D18" s="5" t="s">
        <v>599</v>
      </c>
      <c r="E18" s="5" t="s">
        <v>600</v>
      </c>
      <c r="F18" s="45" t="n">
        <v>64</v>
      </c>
      <c r="G18" s="24" t="n">
        <v>253</v>
      </c>
      <c r="H18" s="46" t="n">
        <v>9461.67</v>
      </c>
      <c r="I18" s="6" t="s">
        <v>592</v>
      </c>
    </row>
    <row r="19" customFormat="false" ht="15" hidden="false" customHeight="false" outlineLevel="0" collapsed="false">
      <c r="A19" s="5" t="s">
        <v>598</v>
      </c>
      <c r="B19" s="5" t="s">
        <v>317</v>
      </c>
      <c r="C19" s="5" t="s">
        <v>586</v>
      </c>
      <c r="D19" s="5" t="s">
        <v>599</v>
      </c>
      <c r="E19" s="5" t="s">
        <v>600</v>
      </c>
      <c r="F19" s="45" t="n">
        <v>50</v>
      </c>
      <c r="G19" s="24" t="n">
        <v>146</v>
      </c>
      <c r="H19" s="46" t="n">
        <v>35898.05</v>
      </c>
      <c r="I19" s="6" t="s">
        <v>593</v>
      </c>
    </row>
    <row r="20" customFormat="false" ht="15" hidden="false" customHeight="false" outlineLevel="0" collapsed="false">
      <c r="A20" s="5" t="s">
        <v>598</v>
      </c>
      <c r="B20" s="5" t="s">
        <v>330</v>
      </c>
      <c r="C20" s="5" t="s">
        <v>586</v>
      </c>
      <c r="D20" s="5" t="s">
        <v>599</v>
      </c>
      <c r="E20" s="5" t="s">
        <v>600</v>
      </c>
      <c r="F20" s="45" t="n">
        <v>70.2</v>
      </c>
      <c r="G20" s="24" t="n">
        <v>132</v>
      </c>
      <c r="H20" s="46" t="n">
        <v>90390.19</v>
      </c>
      <c r="I20" s="6" t="s">
        <v>594</v>
      </c>
    </row>
    <row r="21" customFormat="false" ht="15" hidden="false" customHeight="false" outlineLevel="0" collapsed="false">
      <c r="A21" s="5" t="s">
        <v>598</v>
      </c>
      <c r="B21" s="5" t="s">
        <v>343</v>
      </c>
      <c r="C21" s="5" t="s">
        <v>586</v>
      </c>
      <c r="D21" s="5" t="s">
        <v>599</v>
      </c>
      <c r="E21" s="5" t="s">
        <v>600</v>
      </c>
      <c r="F21" s="45" t="n">
        <v>112.6</v>
      </c>
      <c r="G21" s="24" t="n">
        <v>157</v>
      </c>
      <c r="H21" s="46" t="n">
        <v>16209.14</v>
      </c>
      <c r="I21" s="6" t="s">
        <v>595</v>
      </c>
    </row>
    <row r="22" customFormat="false" ht="15" hidden="false" customHeight="false" outlineLevel="0" collapsed="false">
      <c r="A22" s="5" t="s">
        <v>598</v>
      </c>
      <c r="B22" s="5" t="s">
        <v>356</v>
      </c>
      <c r="C22" s="5" t="s">
        <v>586</v>
      </c>
      <c r="D22" s="5" t="s">
        <v>599</v>
      </c>
      <c r="E22" s="5" t="s">
        <v>600</v>
      </c>
      <c r="F22" s="45" t="n">
        <v>49</v>
      </c>
      <c r="G22" s="24" t="n">
        <v>161</v>
      </c>
      <c r="H22" s="46" t="n">
        <v>31722.03</v>
      </c>
      <c r="I22" s="6" t="s">
        <v>596</v>
      </c>
    </row>
    <row r="23" customFormat="false" ht="15" hidden="false" customHeight="false" outlineLevel="0" collapsed="false">
      <c r="A23" s="5" t="s">
        <v>598</v>
      </c>
      <c r="B23" s="5" t="s">
        <v>369</v>
      </c>
      <c r="C23" s="5" t="s">
        <v>586</v>
      </c>
      <c r="D23" s="5" t="s">
        <v>599</v>
      </c>
      <c r="E23" s="5" t="s">
        <v>600</v>
      </c>
      <c r="F23" s="45" t="n">
        <v>10</v>
      </c>
      <c r="G23" s="24" t="n">
        <v>25</v>
      </c>
      <c r="H23" s="46" t="n">
        <v>4402.76</v>
      </c>
      <c r="I23" s="6" t="s">
        <v>597</v>
      </c>
    </row>
    <row r="24" customFormat="false" ht="15" hidden="false" customHeight="false" outlineLevel="0" collapsed="false">
      <c r="A24" s="5" t="s">
        <v>564</v>
      </c>
      <c r="B24" s="5" t="s">
        <v>265</v>
      </c>
      <c r="C24" s="5" t="s">
        <v>586</v>
      </c>
      <c r="D24" s="5" t="s">
        <v>599</v>
      </c>
      <c r="E24" s="5" t="s">
        <v>601</v>
      </c>
      <c r="F24" s="45" t="n">
        <v>31827.9</v>
      </c>
      <c r="G24" s="24" t="n">
        <v>18335</v>
      </c>
      <c r="H24" s="46" t="n">
        <v>2938557.46</v>
      </c>
      <c r="I24" s="6" t="s">
        <v>589</v>
      </c>
    </row>
    <row r="25" customFormat="false" ht="15" hidden="false" customHeight="false" outlineLevel="0" collapsed="false">
      <c r="A25" s="5" t="s">
        <v>564</v>
      </c>
      <c r="B25" s="5" t="s">
        <v>278</v>
      </c>
      <c r="C25" s="5" t="s">
        <v>586</v>
      </c>
      <c r="D25" s="5" t="s">
        <v>599</v>
      </c>
      <c r="E25" s="5" t="s">
        <v>601</v>
      </c>
      <c r="F25" s="45" t="n">
        <v>31342.5</v>
      </c>
      <c r="G25" s="24" t="n">
        <v>19961</v>
      </c>
      <c r="H25" s="46" t="n">
        <v>2694917.44</v>
      </c>
      <c r="I25" s="6" t="s">
        <v>590</v>
      </c>
    </row>
    <row r="26" customFormat="false" ht="15" hidden="false" customHeight="false" outlineLevel="0" collapsed="false">
      <c r="A26" s="5" t="s">
        <v>564</v>
      </c>
      <c r="B26" s="5" t="s">
        <v>291</v>
      </c>
      <c r="C26" s="5" t="s">
        <v>586</v>
      </c>
      <c r="D26" s="5" t="s">
        <v>599</v>
      </c>
      <c r="E26" s="5" t="s">
        <v>601</v>
      </c>
      <c r="F26" s="45" t="n">
        <v>32588</v>
      </c>
      <c r="G26" s="24" t="n">
        <v>19779</v>
      </c>
      <c r="H26" s="46" t="n">
        <v>2637282.16</v>
      </c>
      <c r="I26" s="6" t="s">
        <v>591</v>
      </c>
    </row>
    <row r="27" customFormat="false" ht="15" hidden="false" customHeight="false" outlineLevel="0" collapsed="false">
      <c r="A27" s="5" t="s">
        <v>564</v>
      </c>
      <c r="B27" s="5" t="s">
        <v>304</v>
      </c>
      <c r="C27" s="5" t="s">
        <v>586</v>
      </c>
      <c r="D27" s="5" t="s">
        <v>599</v>
      </c>
      <c r="E27" s="5" t="s">
        <v>601</v>
      </c>
      <c r="F27" s="45" t="n">
        <v>36590.3</v>
      </c>
      <c r="G27" s="24" t="n">
        <v>21025</v>
      </c>
      <c r="H27" s="46" t="n">
        <v>2483669.82</v>
      </c>
      <c r="I27" s="6" t="s">
        <v>592</v>
      </c>
    </row>
    <row r="28" customFormat="false" ht="15" hidden="false" customHeight="false" outlineLevel="0" collapsed="false">
      <c r="A28" s="5" t="s">
        <v>564</v>
      </c>
      <c r="B28" s="5" t="s">
        <v>317</v>
      </c>
      <c r="C28" s="5" t="s">
        <v>586</v>
      </c>
      <c r="D28" s="5" t="s">
        <v>599</v>
      </c>
      <c r="E28" s="5" t="s">
        <v>601</v>
      </c>
      <c r="F28" s="45" t="n">
        <v>37007</v>
      </c>
      <c r="G28" s="24" t="n">
        <v>21816</v>
      </c>
      <c r="H28" s="46" t="n">
        <v>2745157.95</v>
      </c>
      <c r="I28" s="6" t="s">
        <v>593</v>
      </c>
    </row>
    <row r="29" customFormat="false" ht="15" hidden="false" customHeight="false" outlineLevel="0" collapsed="false">
      <c r="A29" s="5" t="s">
        <v>564</v>
      </c>
      <c r="B29" s="5" t="s">
        <v>330</v>
      </c>
      <c r="C29" s="5" t="s">
        <v>586</v>
      </c>
      <c r="D29" s="5" t="s">
        <v>599</v>
      </c>
      <c r="E29" s="5" t="s">
        <v>601</v>
      </c>
      <c r="F29" s="45" t="n">
        <v>28060.4</v>
      </c>
      <c r="G29" s="24" t="n">
        <v>17657</v>
      </c>
      <c r="H29" s="46" t="n">
        <v>2469358.05</v>
      </c>
      <c r="I29" s="6" t="s">
        <v>594</v>
      </c>
    </row>
    <row r="30" customFormat="false" ht="15" hidden="false" customHeight="false" outlineLevel="0" collapsed="false">
      <c r="A30" s="5" t="s">
        <v>564</v>
      </c>
      <c r="B30" s="5" t="s">
        <v>343</v>
      </c>
      <c r="C30" s="5" t="s">
        <v>586</v>
      </c>
      <c r="D30" s="5" t="s">
        <v>599</v>
      </c>
      <c r="E30" s="5" t="s">
        <v>601</v>
      </c>
      <c r="F30" s="45" t="n">
        <v>46946.5</v>
      </c>
      <c r="G30" s="24" t="n">
        <v>19380</v>
      </c>
      <c r="H30" s="46" t="n">
        <v>1601748.95</v>
      </c>
      <c r="I30" s="6" t="s">
        <v>595</v>
      </c>
    </row>
    <row r="31" customFormat="false" ht="15" hidden="false" customHeight="false" outlineLevel="0" collapsed="false">
      <c r="A31" s="5" t="s">
        <v>564</v>
      </c>
      <c r="B31" s="5" t="s">
        <v>356</v>
      </c>
      <c r="C31" s="5" t="s">
        <v>586</v>
      </c>
      <c r="D31" s="5" t="s">
        <v>599</v>
      </c>
      <c r="E31" s="5" t="s">
        <v>601</v>
      </c>
      <c r="F31" s="45" t="n">
        <v>41923.1</v>
      </c>
      <c r="G31" s="24" t="n">
        <v>19453</v>
      </c>
      <c r="H31" s="46" t="n">
        <v>1341999.35</v>
      </c>
      <c r="I31" s="6" t="s">
        <v>596</v>
      </c>
    </row>
    <row r="32" customFormat="false" ht="15" hidden="false" customHeight="false" outlineLevel="0" collapsed="false">
      <c r="A32" s="5" t="s">
        <v>564</v>
      </c>
      <c r="B32" s="5" t="s">
        <v>369</v>
      </c>
      <c r="C32" s="5" t="s">
        <v>586</v>
      </c>
      <c r="D32" s="5" t="s">
        <v>599</v>
      </c>
      <c r="E32" s="5" t="s">
        <v>601</v>
      </c>
      <c r="F32" s="45" t="n">
        <v>7995.8</v>
      </c>
      <c r="G32" s="24" t="n">
        <v>4030</v>
      </c>
      <c r="H32" s="46" t="n">
        <v>267833.04</v>
      </c>
      <c r="I32" s="6" t="s">
        <v>597</v>
      </c>
    </row>
    <row r="33" customFormat="false" ht="15" hidden="false" customHeight="false" outlineLevel="0" collapsed="false">
      <c r="A33" s="5" t="s">
        <v>565</v>
      </c>
      <c r="B33" s="5" t="s">
        <v>265</v>
      </c>
      <c r="C33" s="5" t="s">
        <v>586</v>
      </c>
      <c r="D33" s="5" t="s">
        <v>599</v>
      </c>
      <c r="E33" s="5" t="s">
        <v>601</v>
      </c>
      <c r="F33" s="45" t="n">
        <v>14283.7</v>
      </c>
      <c r="G33" s="24" t="n">
        <v>7144</v>
      </c>
      <c r="H33" s="46" t="n">
        <v>2359183.78</v>
      </c>
      <c r="I33" s="6" t="s">
        <v>589</v>
      </c>
    </row>
    <row r="34" customFormat="false" ht="15" hidden="false" customHeight="false" outlineLevel="0" collapsed="false">
      <c r="A34" s="5" t="s">
        <v>565</v>
      </c>
      <c r="B34" s="5" t="s">
        <v>278</v>
      </c>
      <c r="C34" s="5" t="s">
        <v>586</v>
      </c>
      <c r="D34" s="5" t="s">
        <v>599</v>
      </c>
      <c r="E34" s="5" t="s">
        <v>601</v>
      </c>
      <c r="F34" s="45" t="n">
        <v>15812.2</v>
      </c>
      <c r="G34" s="24" t="n">
        <v>8774</v>
      </c>
      <c r="H34" s="46" t="n">
        <v>1046278.56</v>
      </c>
      <c r="I34" s="6" t="s">
        <v>590</v>
      </c>
    </row>
    <row r="35" customFormat="false" ht="15" hidden="false" customHeight="false" outlineLevel="0" collapsed="false">
      <c r="A35" s="5" t="s">
        <v>565</v>
      </c>
      <c r="B35" s="5" t="s">
        <v>291</v>
      </c>
      <c r="C35" s="5" t="s">
        <v>586</v>
      </c>
      <c r="D35" s="5" t="s">
        <v>599</v>
      </c>
      <c r="E35" s="5" t="s">
        <v>601</v>
      </c>
      <c r="F35" s="45" t="n">
        <v>19177.5</v>
      </c>
      <c r="G35" s="24" t="n">
        <v>8804</v>
      </c>
      <c r="H35" s="46" t="n">
        <v>574433.89</v>
      </c>
      <c r="I35" s="6" t="s">
        <v>591</v>
      </c>
    </row>
    <row r="36" customFormat="false" ht="15" hidden="false" customHeight="false" outlineLevel="0" collapsed="false">
      <c r="A36" s="5" t="s">
        <v>565</v>
      </c>
      <c r="B36" s="5" t="s">
        <v>304</v>
      </c>
      <c r="C36" s="5" t="s">
        <v>586</v>
      </c>
      <c r="D36" s="5" t="s">
        <v>599</v>
      </c>
      <c r="E36" s="5" t="s">
        <v>601</v>
      </c>
      <c r="F36" s="45" t="n">
        <v>21820.9</v>
      </c>
      <c r="G36" s="24" t="n">
        <v>9485</v>
      </c>
      <c r="H36" s="46" t="n">
        <v>928552</v>
      </c>
      <c r="I36" s="6" t="s">
        <v>592</v>
      </c>
    </row>
    <row r="37" customFormat="false" ht="15" hidden="false" customHeight="false" outlineLevel="0" collapsed="false">
      <c r="A37" s="5" t="s">
        <v>565</v>
      </c>
      <c r="B37" s="5" t="s">
        <v>317</v>
      </c>
      <c r="C37" s="5" t="s">
        <v>586</v>
      </c>
      <c r="D37" s="5" t="s">
        <v>599</v>
      </c>
      <c r="E37" s="5" t="s">
        <v>601</v>
      </c>
      <c r="F37" s="45" t="n">
        <v>25069.9</v>
      </c>
      <c r="G37" s="24" t="n">
        <v>10021</v>
      </c>
      <c r="H37" s="46" t="n">
        <v>1214613.26</v>
      </c>
      <c r="I37" s="6" t="s">
        <v>593</v>
      </c>
    </row>
    <row r="38" customFormat="false" ht="15" hidden="false" customHeight="false" outlineLevel="0" collapsed="false">
      <c r="A38" s="5" t="s">
        <v>565</v>
      </c>
      <c r="B38" s="5" t="s">
        <v>330</v>
      </c>
      <c r="C38" s="5" t="s">
        <v>586</v>
      </c>
      <c r="D38" s="5" t="s">
        <v>599</v>
      </c>
      <c r="E38" s="5" t="s">
        <v>601</v>
      </c>
      <c r="F38" s="45" t="n">
        <v>22112.3</v>
      </c>
      <c r="G38" s="24" t="n">
        <v>9651</v>
      </c>
      <c r="H38" s="46" t="n">
        <v>1009416.52</v>
      </c>
      <c r="I38" s="6" t="s">
        <v>594</v>
      </c>
    </row>
    <row r="39" customFormat="false" ht="15" hidden="false" customHeight="false" outlineLevel="0" collapsed="false">
      <c r="A39" s="5" t="s">
        <v>565</v>
      </c>
      <c r="B39" s="5" t="s">
        <v>343</v>
      </c>
      <c r="C39" s="5" t="s">
        <v>586</v>
      </c>
      <c r="D39" s="5" t="s">
        <v>599</v>
      </c>
      <c r="E39" s="5" t="s">
        <v>601</v>
      </c>
      <c r="F39" s="45" t="n">
        <v>21711.5</v>
      </c>
      <c r="G39" s="24" t="n">
        <v>10249</v>
      </c>
      <c r="H39" s="46" t="n">
        <v>909698.13</v>
      </c>
      <c r="I39" s="6" t="s">
        <v>595</v>
      </c>
    </row>
    <row r="40" customFormat="false" ht="15" hidden="false" customHeight="false" outlineLevel="0" collapsed="false">
      <c r="A40" s="5" t="s">
        <v>565</v>
      </c>
      <c r="B40" s="5" t="s">
        <v>356</v>
      </c>
      <c r="C40" s="5" t="s">
        <v>586</v>
      </c>
      <c r="D40" s="5" t="s">
        <v>599</v>
      </c>
      <c r="E40" s="5" t="s">
        <v>601</v>
      </c>
      <c r="F40" s="45" t="n">
        <v>20678.6</v>
      </c>
      <c r="G40" s="24" t="n">
        <v>9727</v>
      </c>
      <c r="H40" s="46" t="n">
        <v>704261.87</v>
      </c>
      <c r="I40" s="6" t="s">
        <v>596</v>
      </c>
    </row>
    <row r="41" customFormat="false" ht="15" hidden="false" customHeight="false" outlineLevel="0" collapsed="false">
      <c r="A41" s="5" t="s">
        <v>565</v>
      </c>
      <c r="B41" s="5" t="s">
        <v>369</v>
      </c>
      <c r="C41" s="5" t="s">
        <v>586</v>
      </c>
      <c r="D41" s="5" t="s">
        <v>599</v>
      </c>
      <c r="E41" s="5" t="s">
        <v>601</v>
      </c>
      <c r="F41" s="45" t="n">
        <v>5229.5</v>
      </c>
      <c r="G41" s="24" t="n">
        <v>2083</v>
      </c>
      <c r="H41" s="46" t="n">
        <v>137903.74</v>
      </c>
      <c r="I41" s="6" t="s">
        <v>597</v>
      </c>
    </row>
    <row r="42" customFormat="false" ht="15" hidden="false" customHeight="false" outlineLevel="0" collapsed="false">
      <c r="A42" s="5" t="s">
        <v>567</v>
      </c>
      <c r="B42" s="5" t="s">
        <v>265</v>
      </c>
      <c r="C42" s="5" t="s">
        <v>586</v>
      </c>
      <c r="D42" s="5" t="s">
        <v>599</v>
      </c>
      <c r="E42" s="5" t="s">
        <v>602</v>
      </c>
      <c r="F42" s="45" t="n">
        <v>1771.6</v>
      </c>
      <c r="G42" s="24" t="n">
        <v>775</v>
      </c>
      <c r="H42" s="46" t="n">
        <v>91989.16</v>
      </c>
      <c r="I42" s="6" t="s">
        <v>589</v>
      </c>
    </row>
    <row r="43" customFormat="false" ht="15" hidden="false" customHeight="false" outlineLevel="0" collapsed="false">
      <c r="A43" s="5" t="s">
        <v>567</v>
      </c>
      <c r="B43" s="5" t="s">
        <v>278</v>
      </c>
      <c r="C43" s="5" t="s">
        <v>586</v>
      </c>
      <c r="D43" s="5" t="s">
        <v>599</v>
      </c>
      <c r="E43" s="5" t="s">
        <v>602</v>
      </c>
      <c r="F43" s="45" t="n">
        <v>1412.3</v>
      </c>
      <c r="G43" s="24" t="n">
        <v>869</v>
      </c>
      <c r="H43" s="46" t="n">
        <v>205083.04</v>
      </c>
      <c r="I43" s="6" t="s">
        <v>590</v>
      </c>
    </row>
    <row r="44" customFormat="false" ht="15" hidden="false" customHeight="false" outlineLevel="0" collapsed="false">
      <c r="A44" s="5" t="s">
        <v>567</v>
      </c>
      <c r="B44" s="5" t="s">
        <v>291</v>
      </c>
      <c r="C44" s="5" t="s">
        <v>586</v>
      </c>
      <c r="D44" s="5" t="s">
        <v>599</v>
      </c>
      <c r="E44" s="5" t="s">
        <v>602</v>
      </c>
      <c r="F44" s="45" t="n">
        <v>1253.5</v>
      </c>
      <c r="G44" s="24" t="n">
        <v>716</v>
      </c>
      <c r="H44" s="46" t="n">
        <v>44536.7</v>
      </c>
      <c r="I44" s="6" t="s">
        <v>591</v>
      </c>
    </row>
    <row r="45" customFormat="false" ht="15" hidden="false" customHeight="false" outlineLevel="0" collapsed="false">
      <c r="A45" s="5" t="s">
        <v>567</v>
      </c>
      <c r="B45" s="5" t="s">
        <v>304</v>
      </c>
      <c r="C45" s="5" t="s">
        <v>586</v>
      </c>
      <c r="D45" s="5" t="s">
        <v>599</v>
      </c>
      <c r="E45" s="5" t="s">
        <v>602</v>
      </c>
      <c r="F45" s="45" t="n">
        <v>1307.1</v>
      </c>
      <c r="G45" s="24" t="n">
        <v>720</v>
      </c>
      <c r="H45" s="46" t="n">
        <v>54154.14</v>
      </c>
      <c r="I45" s="6" t="s">
        <v>592</v>
      </c>
    </row>
    <row r="46" customFormat="false" ht="15" hidden="false" customHeight="false" outlineLevel="0" collapsed="false">
      <c r="A46" s="5" t="s">
        <v>567</v>
      </c>
      <c r="B46" s="5" t="s">
        <v>317</v>
      </c>
      <c r="C46" s="5" t="s">
        <v>586</v>
      </c>
      <c r="D46" s="5" t="s">
        <v>599</v>
      </c>
      <c r="E46" s="5" t="s">
        <v>602</v>
      </c>
      <c r="F46" s="45" t="n">
        <v>1918.3</v>
      </c>
      <c r="G46" s="24" t="n">
        <v>855</v>
      </c>
      <c r="H46" s="46" t="n">
        <v>64026.25</v>
      </c>
      <c r="I46" s="6" t="s">
        <v>593</v>
      </c>
    </row>
    <row r="47" customFormat="false" ht="15" hidden="false" customHeight="false" outlineLevel="0" collapsed="false">
      <c r="A47" s="5" t="s">
        <v>567</v>
      </c>
      <c r="B47" s="5" t="s">
        <v>330</v>
      </c>
      <c r="C47" s="5" t="s">
        <v>586</v>
      </c>
      <c r="D47" s="5" t="s">
        <v>599</v>
      </c>
      <c r="E47" s="5" t="s">
        <v>602</v>
      </c>
      <c r="F47" s="45" t="n">
        <v>927.6</v>
      </c>
      <c r="G47" s="24" t="n">
        <v>525</v>
      </c>
      <c r="H47" s="46" t="n">
        <v>87195.6</v>
      </c>
      <c r="I47" s="6" t="s">
        <v>594</v>
      </c>
    </row>
    <row r="48" customFormat="false" ht="15" hidden="false" customHeight="false" outlineLevel="0" collapsed="false">
      <c r="A48" s="5" t="s">
        <v>567</v>
      </c>
      <c r="B48" s="5" t="s">
        <v>343</v>
      </c>
      <c r="C48" s="5" t="s">
        <v>586</v>
      </c>
      <c r="D48" s="5" t="s">
        <v>599</v>
      </c>
      <c r="E48" s="5" t="s">
        <v>602</v>
      </c>
      <c r="F48" s="45" t="n">
        <v>1252.6</v>
      </c>
      <c r="G48" s="24" t="n">
        <v>645</v>
      </c>
      <c r="H48" s="46" t="n">
        <v>49741.85</v>
      </c>
      <c r="I48" s="6" t="s">
        <v>595</v>
      </c>
    </row>
    <row r="49" customFormat="false" ht="15" hidden="false" customHeight="false" outlineLevel="0" collapsed="false">
      <c r="A49" s="5" t="s">
        <v>567</v>
      </c>
      <c r="B49" s="5" t="s">
        <v>356</v>
      </c>
      <c r="C49" s="5" t="s">
        <v>586</v>
      </c>
      <c r="D49" s="5" t="s">
        <v>599</v>
      </c>
      <c r="E49" s="5" t="s">
        <v>602</v>
      </c>
      <c r="F49" s="45" t="n">
        <v>1643.1</v>
      </c>
      <c r="G49" s="24" t="n">
        <v>726</v>
      </c>
      <c r="H49" s="46" t="n">
        <v>67325.4</v>
      </c>
      <c r="I49" s="6" t="s">
        <v>596</v>
      </c>
    </row>
    <row r="50" customFormat="false" ht="15" hidden="false" customHeight="false" outlineLevel="0" collapsed="false">
      <c r="A50" s="5" t="s">
        <v>567</v>
      </c>
      <c r="B50" s="5" t="s">
        <v>369</v>
      </c>
      <c r="C50" s="5" t="s">
        <v>586</v>
      </c>
      <c r="D50" s="5" t="s">
        <v>599</v>
      </c>
      <c r="E50" s="5" t="s">
        <v>602</v>
      </c>
      <c r="F50" s="45" t="n">
        <v>513.5</v>
      </c>
      <c r="G50" s="24" t="n">
        <v>160</v>
      </c>
      <c r="H50" s="46" t="n">
        <v>24161.55</v>
      </c>
      <c r="I50" s="6" t="s">
        <v>597</v>
      </c>
    </row>
    <row r="51" customFormat="false" ht="15" hidden="false" customHeight="false" outlineLevel="0" collapsed="false">
      <c r="A51" s="5" t="s">
        <v>603</v>
      </c>
      <c r="B51" s="5" t="s">
        <v>265</v>
      </c>
      <c r="C51" s="5" t="s">
        <v>586</v>
      </c>
      <c r="D51" s="5" t="s">
        <v>599</v>
      </c>
      <c r="E51" s="5" t="s">
        <v>602</v>
      </c>
      <c r="F51" s="45" t="n">
        <v>295.4</v>
      </c>
      <c r="G51" s="24" t="n">
        <v>170</v>
      </c>
      <c r="H51" s="46" t="n">
        <v>10349.51</v>
      </c>
      <c r="I51" s="6" t="s">
        <v>589</v>
      </c>
    </row>
    <row r="52" customFormat="false" ht="15" hidden="false" customHeight="false" outlineLevel="0" collapsed="false">
      <c r="A52" s="5" t="s">
        <v>603</v>
      </c>
      <c r="B52" s="5" t="s">
        <v>278</v>
      </c>
      <c r="C52" s="5" t="s">
        <v>586</v>
      </c>
      <c r="D52" s="5" t="s">
        <v>599</v>
      </c>
      <c r="E52" s="5" t="s">
        <v>602</v>
      </c>
      <c r="F52" s="45" t="n">
        <v>374.4</v>
      </c>
      <c r="G52" s="24" t="n">
        <v>162</v>
      </c>
      <c r="H52" s="46" t="n">
        <v>10894.68</v>
      </c>
      <c r="I52" s="6" t="s">
        <v>590</v>
      </c>
    </row>
    <row r="53" customFormat="false" ht="15" hidden="false" customHeight="false" outlineLevel="0" collapsed="false">
      <c r="A53" s="5" t="s">
        <v>603</v>
      </c>
      <c r="B53" s="5" t="s">
        <v>291</v>
      </c>
      <c r="C53" s="5" t="s">
        <v>586</v>
      </c>
      <c r="D53" s="5" t="s">
        <v>599</v>
      </c>
      <c r="E53" s="5" t="s">
        <v>602</v>
      </c>
      <c r="F53" s="45" t="n">
        <v>386.4</v>
      </c>
      <c r="G53" s="24" t="n">
        <v>195</v>
      </c>
      <c r="H53" s="46" t="n">
        <v>10320.8</v>
      </c>
      <c r="I53" s="6" t="s">
        <v>591</v>
      </c>
    </row>
    <row r="54" customFormat="false" ht="15" hidden="false" customHeight="false" outlineLevel="0" collapsed="false">
      <c r="A54" s="5" t="s">
        <v>603</v>
      </c>
      <c r="B54" s="5" t="s">
        <v>304</v>
      </c>
      <c r="C54" s="5" t="s">
        <v>586</v>
      </c>
      <c r="D54" s="5" t="s">
        <v>599</v>
      </c>
      <c r="E54" s="5" t="s">
        <v>602</v>
      </c>
      <c r="F54" s="45" t="n">
        <v>628.7</v>
      </c>
      <c r="G54" s="24" t="n">
        <v>302</v>
      </c>
      <c r="H54" s="46" t="n">
        <v>22381.46</v>
      </c>
      <c r="I54" s="6" t="s">
        <v>592</v>
      </c>
    </row>
    <row r="55" customFormat="false" ht="15" hidden="false" customHeight="false" outlineLevel="0" collapsed="false">
      <c r="A55" s="5" t="s">
        <v>603</v>
      </c>
      <c r="B55" s="5" t="s">
        <v>317</v>
      </c>
      <c r="C55" s="5" t="s">
        <v>586</v>
      </c>
      <c r="D55" s="5" t="s">
        <v>599</v>
      </c>
      <c r="E55" s="5" t="s">
        <v>602</v>
      </c>
      <c r="F55" s="45" t="n">
        <v>650.4</v>
      </c>
      <c r="G55" s="24" t="n">
        <v>344</v>
      </c>
      <c r="H55" s="46" t="n">
        <v>63145.73</v>
      </c>
      <c r="I55" s="6" t="s">
        <v>593</v>
      </c>
    </row>
    <row r="56" customFormat="false" ht="15" hidden="false" customHeight="false" outlineLevel="0" collapsed="false">
      <c r="A56" s="5" t="s">
        <v>603</v>
      </c>
      <c r="B56" s="5" t="s">
        <v>330</v>
      </c>
      <c r="C56" s="5" t="s">
        <v>586</v>
      </c>
      <c r="D56" s="5" t="s">
        <v>599</v>
      </c>
      <c r="E56" s="5" t="s">
        <v>602</v>
      </c>
      <c r="F56" s="45" t="n">
        <v>489.2</v>
      </c>
      <c r="G56" s="24" t="n">
        <v>191</v>
      </c>
      <c r="H56" s="46" t="n">
        <v>66426.72</v>
      </c>
      <c r="I56" s="6" t="s">
        <v>594</v>
      </c>
    </row>
    <row r="57" customFormat="false" ht="15" hidden="false" customHeight="false" outlineLevel="0" collapsed="false">
      <c r="A57" s="5" t="s">
        <v>603</v>
      </c>
      <c r="B57" s="5" t="s">
        <v>343</v>
      </c>
      <c r="C57" s="5" t="s">
        <v>586</v>
      </c>
      <c r="D57" s="5" t="s">
        <v>599</v>
      </c>
      <c r="E57" s="5" t="s">
        <v>602</v>
      </c>
      <c r="F57" s="45" t="n">
        <v>795.1</v>
      </c>
      <c r="G57" s="24" t="n">
        <v>213</v>
      </c>
      <c r="H57" s="46" t="n">
        <v>41831.68</v>
      </c>
      <c r="I57" s="6" t="s">
        <v>595</v>
      </c>
    </row>
    <row r="58" customFormat="false" ht="15" hidden="false" customHeight="false" outlineLevel="0" collapsed="false">
      <c r="A58" s="5" t="s">
        <v>603</v>
      </c>
      <c r="B58" s="5" t="s">
        <v>356</v>
      </c>
      <c r="C58" s="5" t="s">
        <v>586</v>
      </c>
      <c r="D58" s="5" t="s">
        <v>599</v>
      </c>
      <c r="E58" s="5" t="s">
        <v>602</v>
      </c>
      <c r="F58" s="45" t="n">
        <v>1167.2</v>
      </c>
      <c r="G58" s="24" t="n">
        <v>254</v>
      </c>
      <c r="H58" s="46" t="n">
        <v>55457.7</v>
      </c>
      <c r="I58" s="6" t="s">
        <v>596</v>
      </c>
    </row>
    <row r="59" customFormat="false" ht="15" hidden="false" customHeight="false" outlineLevel="0" collapsed="false">
      <c r="A59" s="5" t="s">
        <v>603</v>
      </c>
      <c r="B59" s="5" t="s">
        <v>369</v>
      </c>
      <c r="C59" s="5" t="s">
        <v>586</v>
      </c>
      <c r="D59" s="5" t="s">
        <v>599</v>
      </c>
      <c r="E59" s="5" t="s">
        <v>602</v>
      </c>
      <c r="F59" s="45" t="n">
        <v>263.2</v>
      </c>
      <c r="G59" s="24" t="n">
        <v>52</v>
      </c>
      <c r="H59" s="46" t="n">
        <v>12735.51</v>
      </c>
      <c r="I59" s="6" t="s">
        <v>597</v>
      </c>
    </row>
    <row r="60" customFormat="false" ht="15" hidden="false" customHeight="false" outlineLevel="0" collapsed="false">
      <c r="A60" s="5" t="s">
        <v>604</v>
      </c>
      <c r="B60" s="5" t="s">
        <v>265</v>
      </c>
      <c r="C60" s="5" t="s">
        <v>586</v>
      </c>
      <c r="D60" s="5" t="s">
        <v>599</v>
      </c>
      <c r="E60" s="5" t="s">
        <v>588</v>
      </c>
      <c r="F60" s="45" t="n">
        <v>176.3</v>
      </c>
      <c r="G60" s="24" t="n">
        <v>382</v>
      </c>
      <c r="H60" s="46" t="n">
        <v>86471.1</v>
      </c>
      <c r="I60" s="6" t="s">
        <v>589</v>
      </c>
    </row>
    <row r="61" customFormat="false" ht="15" hidden="false" customHeight="false" outlineLevel="0" collapsed="false">
      <c r="A61" s="5" t="s">
        <v>604</v>
      </c>
      <c r="B61" s="5" t="s">
        <v>278</v>
      </c>
      <c r="C61" s="5" t="s">
        <v>586</v>
      </c>
      <c r="D61" s="5" t="s">
        <v>599</v>
      </c>
      <c r="E61" s="5" t="s">
        <v>588</v>
      </c>
      <c r="F61" s="45" t="n">
        <v>252.9</v>
      </c>
      <c r="G61" s="24" t="n">
        <v>336</v>
      </c>
      <c r="H61" s="46" t="n">
        <v>99033.79</v>
      </c>
      <c r="I61" s="6" t="s">
        <v>590</v>
      </c>
    </row>
    <row r="62" customFormat="false" ht="15" hidden="false" customHeight="false" outlineLevel="0" collapsed="false">
      <c r="A62" s="5" t="s">
        <v>604</v>
      </c>
      <c r="B62" s="5" t="s">
        <v>291</v>
      </c>
      <c r="C62" s="5" t="s">
        <v>586</v>
      </c>
      <c r="D62" s="5" t="s">
        <v>599</v>
      </c>
      <c r="E62" s="5" t="s">
        <v>588</v>
      </c>
      <c r="F62" s="45" t="n">
        <v>261.4</v>
      </c>
      <c r="G62" s="24" t="n">
        <v>422</v>
      </c>
      <c r="H62" s="46" t="n">
        <v>4395.31</v>
      </c>
      <c r="I62" s="6" t="s">
        <v>591</v>
      </c>
    </row>
    <row r="63" customFormat="false" ht="15" hidden="false" customHeight="false" outlineLevel="0" collapsed="false">
      <c r="A63" s="5" t="s">
        <v>604</v>
      </c>
      <c r="B63" s="5" t="s">
        <v>304</v>
      </c>
      <c r="C63" s="5" t="s">
        <v>586</v>
      </c>
      <c r="D63" s="5" t="s">
        <v>599</v>
      </c>
      <c r="E63" s="5" t="s">
        <v>588</v>
      </c>
      <c r="F63" s="45" t="n">
        <v>372.8</v>
      </c>
      <c r="G63" s="24" t="n">
        <v>819</v>
      </c>
      <c r="H63" s="46" t="n">
        <v>7814.95</v>
      </c>
      <c r="I63" s="6" t="s">
        <v>592</v>
      </c>
    </row>
    <row r="64" customFormat="false" ht="15" hidden="false" customHeight="false" outlineLevel="0" collapsed="false">
      <c r="A64" s="5" t="s">
        <v>604</v>
      </c>
      <c r="B64" s="5" t="s">
        <v>317</v>
      </c>
      <c r="C64" s="5" t="s">
        <v>586</v>
      </c>
      <c r="D64" s="5" t="s">
        <v>599</v>
      </c>
      <c r="E64" s="5" t="s">
        <v>588</v>
      </c>
      <c r="F64" s="45" t="n">
        <v>329.7</v>
      </c>
      <c r="G64" s="24" t="n">
        <v>1358</v>
      </c>
      <c r="H64" s="46" t="n">
        <v>16048.61</v>
      </c>
      <c r="I64" s="6" t="s">
        <v>593</v>
      </c>
    </row>
    <row r="65" customFormat="false" ht="15" hidden="false" customHeight="false" outlineLevel="0" collapsed="false">
      <c r="A65" s="5" t="s">
        <v>604</v>
      </c>
      <c r="B65" s="5" t="s">
        <v>330</v>
      </c>
      <c r="C65" s="5" t="s">
        <v>586</v>
      </c>
      <c r="D65" s="5" t="s">
        <v>599</v>
      </c>
      <c r="E65" s="5" t="s">
        <v>588</v>
      </c>
      <c r="F65" s="45" t="n">
        <v>201.6</v>
      </c>
      <c r="G65" s="24" t="n">
        <v>750</v>
      </c>
      <c r="H65" s="46" t="n">
        <v>46012.21</v>
      </c>
      <c r="I65" s="6" t="s">
        <v>594</v>
      </c>
    </row>
    <row r="66" customFormat="false" ht="15" hidden="false" customHeight="false" outlineLevel="0" collapsed="false">
      <c r="A66" s="5" t="s">
        <v>604</v>
      </c>
      <c r="B66" s="5" t="s">
        <v>343</v>
      </c>
      <c r="C66" s="5" t="s">
        <v>586</v>
      </c>
      <c r="D66" s="5" t="s">
        <v>599</v>
      </c>
      <c r="E66" s="5" t="s">
        <v>588</v>
      </c>
      <c r="F66" s="45" t="n">
        <v>18.8</v>
      </c>
      <c r="G66" s="24" t="n">
        <v>29</v>
      </c>
      <c r="H66" s="46" t="n">
        <v>2324.67</v>
      </c>
      <c r="I66" s="6" t="s">
        <v>595</v>
      </c>
    </row>
    <row r="67" customFormat="false" ht="15" hidden="false" customHeight="false" outlineLevel="0" collapsed="false">
      <c r="A67" s="5" t="s">
        <v>604</v>
      </c>
      <c r="B67" s="5" t="s">
        <v>356</v>
      </c>
      <c r="C67" s="5" t="s">
        <v>586</v>
      </c>
      <c r="D67" s="5" t="s">
        <v>599</v>
      </c>
      <c r="E67" s="5" t="s">
        <v>588</v>
      </c>
      <c r="F67" s="45" t="n">
        <v>15.4</v>
      </c>
      <c r="G67" s="24" t="n">
        <v>16</v>
      </c>
      <c r="H67" s="46" t="n">
        <v>1239.82</v>
      </c>
      <c r="I67" s="6" t="s">
        <v>596</v>
      </c>
    </row>
    <row r="68" customFormat="false" ht="15" hidden="false" customHeight="false" outlineLevel="0" collapsed="false">
      <c r="A68" s="5" t="s">
        <v>605</v>
      </c>
      <c r="B68" s="5" t="s">
        <v>265</v>
      </c>
      <c r="C68" s="5" t="s">
        <v>586</v>
      </c>
      <c r="D68" s="5" t="s">
        <v>587</v>
      </c>
      <c r="E68" s="5" t="s">
        <v>600</v>
      </c>
      <c r="F68" s="45" t="n">
        <v>6890.4</v>
      </c>
      <c r="G68" s="24" t="n">
        <v>4993</v>
      </c>
      <c r="H68" s="46" t="n">
        <v>861316.07</v>
      </c>
      <c r="I68" s="6" t="s">
        <v>589</v>
      </c>
    </row>
    <row r="69" customFormat="false" ht="15" hidden="false" customHeight="false" outlineLevel="0" collapsed="false">
      <c r="A69" s="5" t="s">
        <v>605</v>
      </c>
      <c r="B69" s="5" t="s">
        <v>278</v>
      </c>
      <c r="C69" s="5" t="s">
        <v>586</v>
      </c>
      <c r="D69" s="5" t="s">
        <v>587</v>
      </c>
      <c r="E69" s="5" t="s">
        <v>600</v>
      </c>
      <c r="F69" s="45" t="n">
        <v>7061.8</v>
      </c>
      <c r="G69" s="24" t="n">
        <v>4866</v>
      </c>
      <c r="H69" s="46" t="n">
        <v>595120.12</v>
      </c>
      <c r="I69" s="6" t="s">
        <v>590</v>
      </c>
    </row>
    <row r="70" customFormat="false" ht="15" hidden="false" customHeight="false" outlineLevel="0" collapsed="false">
      <c r="A70" s="5" t="s">
        <v>605</v>
      </c>
      <c r="B70" s="5" t="s">
        <v>291</v>
      </c>
      <c r="C70" s="5" t="s">
        <v>586</v>
      </c>
      <c r="D70" s="5" t="s">
        <v>587</v>
      </c>
      <c r="E70" s="5" t="s">
        <v>600</v>
      </c>
      <c r="F70" s="45" t="n">
        <v>6278.8</v>
      </c>
      <c r="G70" s="24" t="n">
        <v>4194</v>
      </c>
      <c r="H70" s="46" t="n">
        <v>296528.78</v>
      </c>
      <c r="I70" s="6" t="s">
        <v>591</v>
      </c>
    </row>
    <row r="71" customFormat="false" ht="15" hidden="false" customHeight="false" outlineLevel="0" collapsed="false">
      <c r="A71" s="5" t="s">
        <v>605</v>
      </c>
      <c r="B71" s="5" t="s">
        <v>304</v>
      </c>
      <c r="C71" s="5" t="s">
        <v>586</v>
      </c>
      <c r="D71" s="5" t="s">
        <v>587</v>
      </c>
      <c r="E71" s="5" t="s">
        <v>600</v>
      </c>
      <c r="F71" s="45" t="n">
        <v>7202.1</v>
      </c>
      <c r="G71" s="24" t="n">
        <v>4663</v>
      </c>
      <c r="H71" s="46" t="n">
        <v>384641.04</v>
      </c>
      <c r="I71" s="6" t="s">
        <v>592</v>
      </c>
    </row>
    <row r="72" customFormat="false" ht="15" hidden="false" customHeight="false" outlineLevel="0" collapsed="false">
      <c r="A72" s="5" t="s">
        <v>605</v>
      </c>
      <c r="B72" s="5" t="s">
        <v>317</v>
      </c>
      <c r="C72" s="5" t="s">
        <v>586</v>
      </c>
      <c r="D72" s="5" t="s">
        <v>587</v>
      </c>
      <c r="E72" s="5" t="s">
        <v>600</v>
      </c>
      <c r="F72" s="45" t="n">
        <v>4468.8</v>
      </c>
      <c r="G72" s="24" t="n">
        <v>4224</v>
      </c>
      <c r="H72" s="46" t="n">
        <v>388290.92</v>
      </c>
      <c r="I72" s="6" t="s">
        <v>593</v>
      </c>
    </row>
    <row r="73" customFormat="false" ht="15" hidden="false" customHeight="false" outlineLevel="0" collapsed="false">
      <c r="A73" s="5" t="s">
        <v>605</v>
      </c>
      <c r="B73" s="5" t="s">
        <v>330</v>
      </c>
      <c r="C73" s="5" t="s">
        <v>586</v>
      </c>
      <c r="D73" s="5" t="s">
        <v>587</v>
      </c>
      <c r="E73" s="5" t="s">
        <v>600</v>
      </c>
      <c r="F73" s="45" t="n">
        <v>3613.2</v>
      </c>
      <c r="G73" s="24" t="n">
        <v>3972</v>
      </c>
      <c r="H73" s="46" t="n">
        <v>1051410.04</v>
      </c>
      <c r="I73" s="6" t="s">
        <v>594</v>
      </c>
    </row>
    <row r="74" customFormat="false" ht="15" hidden="false" customHeight="false" outlineLevel="0" collapsed="false">
      <c r="A74" s="5" t="s">
        <v>605</v>
      </c>
      <c r="B74" s="5" t="s">
        <v>343</v>
      </c>
      <c r="C74" s="5" t="s">
        <v>586</v>
      </c>
      <c r="D74" s="5" t="s">
        <v>587</v>
      </c>
      <c r="E74" s="5" t="s">
        <v>600</v>
      </c>
      <c r="F74" s="45" t="n">
        <v>3666.1</v>
      </c>
      <c r="G74" s="24" t="n">
        <v>2178</v>
      </c>
      <c r="H74" s="46" t="n">
        <v>408188.07</v>
      </c>
      <c r="I74" s="6" t="s">
        <v>595</v>
      </c>
    </row>
    <row r="75" customFormat="false" ht="15" hidden="false" customHeight="false" outlineLevel="0" collapsed="false">
      <c r="A75" s="5" t="s">
        <v>605</v>
      </c>
      <c r="B75" s="5" t="s">
        <v>356</v>
      </c>
      <c r="C75" s="5" t="s">
        <v>586</v>
      </c>
      <c r="D75" s="5" t="s">
        <v>587</v>
      </c>
      <c r="E75" s="5" t="s">
        <v>600</v>
      </c>
      <c r="F75" s="45" t="n">
        <v>5151.4</v>
      </c>
      <c r="G75" s="24" t="n">
        <v>2057</v>
      </c>
      <c r="H75" s="46" t="n">
        <v>310533.92</v>
      </c>
      <c r="I75" s="6" t="s">
        <v>596</v>
      </c>
    </row>
    <row r="76" customFormat="false" ht="15" hidden="false" customHeight="false" outlineLevel="0" collapsed="false">
      <c r="A76" s="5" t="s">
        <v>605</v>
      </c>
      <c r="B76" s="5" t="s">
        <v>369</v>
      </c>
      <c r="C76" s="5" t="s">
        <v>586</v>
      </c>
      <c r="D76" s="5" t="s">
        <v>587</v>
      </c>
      <c r="E76" s="5" t="s">
        <v>600</v>
      </c>
      <c r="F76" s="45" t="n">
        <v>311.8</v>
      </c>
      <c r="G76" s="24" t="n">
        <v>368</v>
      </c>
      <c r="H76" s="46" t="n">
        <v>17870.02</v>
      </c>
      <c r="I76" s="6" t="s">
        <v>597</v>
      </c>
    </row>
    <row r="77" customFormat="false" ht="15" hidden="false" customHeight="false" outlineLevel="0" collapsed="false">
      <c r="A77" s="5" t="s">
        <v>606</v>
      </c>
      <c r="B77" s="5" t="s">
        <v>265</v>
      </c>
      <c r="C77" s="5" t="s">
        <v>586</v>
      </c>
      <c r="D77" s="5" t="s">
        <v>587</v>
      </c>
      <c r="E77" s="5" t="s">
        <v>607</v>
      </c>
      <c r="F77" s="45" t="n">
        <v>556.2</v>
      </c>
      <c r="G77" s="24" t="n">
        <v>355</v>
      </c>
      <c r="H77" s="46" t="n">
        <v>14131.57</v>
      </c>
      <c r="I77" s="6" t="s">
        <v>589</v>
      </c>
    </row>
    <row r="78" customFormat="false" ht="15" hidden="false" customHeight="false" outlineLevel="0" collapsed="false">
      <c r="A78" s="5" t="s">
        <v>606</v>
      </c>
      <c r="B78" s="5" t="s">
        <v>278</v>
      </c>
      <c r="C78" s="5" t="s">
        <v>586</v>
      </c>
      <c r="D78" s="5" t="s">
        <v>587</v>
      </c>
      <c r="E78" s="5" t="s">
        <v>607</v>
      </c>
      <c r="F78" s="45" t="n">
        <v>2881.4</v>
      </c>
      <c r="G78" s="24" t="n">
        <v>1674</v>
      </c>
      <c r="H78" s="46" t="n">
        <v>504179.36</v>
      </c>
      <c r="I78" s="6" t="s">
        <v>590</v>
      </c>
    </row>
    <row r="79" customFormat="false" ht="15" hidden="false" customHeight="false" outlineLevel="0" collapsed="false">
      <c r="A79" s="5" t="s">
        <v>606</v>
      </c>
      <c r="B79" s="5" t="s">
        <v>291</v>
      </c>
      <c r="C79" s="5" t="s">
        <v>586</v>
      </c>
      <c r="D79" s="5" t="s">
        <v>587</v>
      </c>
      <c r="E79" s="5" t="s">
        <v>607</v>
      </c>
      <c r="F79" s="45" t="n">
        <v>2754.9</v>
      </c>
      <c r="G79" s="24" t="n">
        <v>1779</v>
      </c>
      <c r="H79" s="46" t="n">
        <v>578112.95</v>
      </c>
      <c r="I79" s="6" t="s">
        <v>591</v>
      </c>
    </row>
    <row r="80" customFormat="false" ht="15" hidden="false" customHeight="false" outlineLevel="0" collapsed="false">
      <c r="A80" s="5" t="s">
        <v>606</v>
      </c>
      <c r="B80" s="5" t="s">
        <v>304</v>
      </c>
      <c r="C80" s="5" t="s">
        <v>586</v>
      </c>
      <c r="D80" s="5" t="s">
        <v>587</v>
      </c>
      <c r="E80" s="5" t="s">
        <v>607</v>
      </c>
      <c r="F80" s="45" t="n">
        <v>3015.4</v>
      </c>
      <c r="G80" s="24" t="n">
        <v>2007</v>
      </c>
      <c r="H80" s="46" t="n">
        <v>247295.47</v>
      </c>
      <c r="I80" s="6" t="s">
        <v>592</v>
      </c>
    </row>
    <row r="81" customFormat="false" ht="15" hidden="false" customHeight="false" outlineLevel="0" collapsed="false">
      <c r="A81" s="5" t="s">
        <v>606</v>
      </c>
      <c r="B81" s="5" t="s">
        <v>317</v>
      </c>
      <c r="C81" s="5" t="s">
        <v>586</v>
      </c>
      <c r="D81" s="5" t="s">
        <v>587</v>
      </c>
      <c r="E81" s="5" t="s">
        <v>607</v>
      </c>
      <c r="F81" s="45" t="n">
        <v>3595.1</v>
      </c>
      <c r="G81" s="24" t="n">
        <v>2358</v>
      </c>
      <c r="H81" s="46" t="n">
        <v>275006.58</v>
      </c>
      <c r="I81" s="6" t="s">
        <v>593</v>
      </c>
    </row>
    <row r="82" customFormat="false" ht="15" hidden="false" customHeight="false" outlineLevel="0" collapsed="false">
      <c r="A82" s="5" t="s">
        <v>606</v>
      </c>
      <c r="B82" s="5" t="s">
        <v>330</v>
      </c>
      <c r="C82" s="5" t="s">
        <v>586</v>
      </c>
      <c r="D82" s="5" t="s">
        <v>587</v>
      </c>
      <c r="E82" s="5" t="s">
        <v>607</v>
      </c>
      <c r="F82" s="45" t="n">
        <v>1511.9</v>
      </c>
      <c r="G82" s="24" t="n">
        <v>1087</v>
      </c>
      <c r="H82" s="46" t="n">
        <v>79809.92</v>
      </c>
      <c r="I82" s="6" t="s">
        <v>594</v>
      </c>
    </row>
    <row r="83" customFormat="false" ht="15" hidden="false" customHeight="false" outlineLevel="0" collapsed="false">
      <c r="A83" s="5" t="s">
        <v>606</v>
      </c>
      <c r="B83" s="5" t="s">
        <v>343</v>
      </c>
      <c r="C83" s="5" t="s">
        <v>586</v>
      </c>
      <c r="D83" s="5" t="s">
        <v>587</v>
      </c>
      <c r="E83" s="5" t="s">
        <v>607</v>
      </c>
      <c r="F83" s="45" t="n">
        <v>831.3</v>
      </c>
      <c r="G83" s="24" t="n">
        <v>614</v>
      </c>
      <c r="H83" s="46" t="n">
        <v>18867.53</v>
      </c>
      <c r="I83" s="6" t="s">
        <v>595</v>
      </c>
    </row>
    <row r="84" customFormat="false" ht="15" hidden="false" customHeight="false" outlineLevel="0" collapsed="false">
      <c r="A84" s="5" t="s">
        <v>606</v>
      </c>
      <c r="B84" s="5" t="s">
        <v>356</v>
      </c>
      <c r="C84" s="5" t="s">
        <v>586</v>
      </c>
      <c r="D84" s="5" t="s">
        <v>587</v>
      </c>
      <c r="E84" s="5" t="s">
        <v>607</v>
      </c>
      <c r="F84" s="45" t="n">
        <v>3048.7</v>
      </c>
      <c r="G84" s="24" t="n">
        <v>2039</v>
      </c>
      <c r="H84" s="46" t="n">
        <v>61944.45</v>
      </c>
      <c r="I84" s="6" t="s">
        <v>596</v>
      </c>
    </row>
    <row r="85" customFormat="false" ht="15" hidden="false" customHeight="false" outlineLevel="0" collapsed="false">
      <c r="A85" s="5" t="s">
        <v>606</v>
      </c>
      <c r="B85" s="5" t="s">
        <v>369</v>
      </c>
      <c r="C85" s="5" t="s">
        <v>586</v>
      </c>
      <c r="D85" s="5" t="s">
        <v>587</v>
      </c>
      <c r="E85" s="5" t="s">
        <v>607</v>
      </c>
      <c r="F85" s="45" t="n">
        <v>318.9</v>
      </c>
      <c r="G85" s="24" t="n">
        <v>222</v>
      </c>
      <c r="H85" s="46" t="n">
        <v>6000.03</v>
      </c>
      <c r="I85" s="6" t="s">
        <v>597</v>
      </c>
    </row>
    <row r="86" customFormat="false" ht="15" hidden="false" customHeight="false" outlineLevel="0" collapsed="false">
      <c r="A86" s="5" t="s">
        <v>570</v>
      </c>
      <c r="B86" s="5" t="s">
        <v>265</v>
      </c>
      <c r="C86" s="5" t="s">
        <v>586</v>
      </c>
      <c r="D86" s="5" t="s">
        <v>587</v>
      </c>
      <c r="E86" s="5" t="s">
        <v>607</v>
      </c>
      <c r="F86" s="45" t="n">
        <v>426</v>
      </c>
      <c r="G86" s="24" t="n">
        <v>235</v>
      </c>
      <c r="H86" s="46" t="n">
        <v>17004.68</v>
      </c>
      <c r="I86" s="6" t="s">
        <v>589</v>
      </c>
    </row>
    <row r="87" customFormat="false" ht="15" hidden="false" customHeight="false" outlineLevel="0" collapsed="false">
      <c r="A87" s="5" t="s">
        <v>570</v>
      </c>
      <c r="B87" s="5" t="s">
        <v>278</v>
      </c>
      <c r="C87" s="5" t="s">
        <v>586</v>
      </c>
      <c r="D87" s="5" t="s">
        <v>587</v>
      </c>
      <c r="E87" s="5" t="s">
        <v>607</v>
      </c>
      <c r="F87" s="45" t="n">
        <v>2296.8</v>
      </c>
      <c r="G87" s="24" t="n">
        <v>1317</v>
      </c>
      <c r="H87" s="46" t="n">
        <v>97082.54</v>
      </c>
      <c r="I87" s="6" t="s">
        <v>590</v>
      </c>
    </row>
    <row r="88" customFormat="false" ht="15" hidden="false" customHeight="false" outlineLevel="0" collapsed="false">
      <c r="A88" s="5" t="s">
        <v>570</v>
      </c>
      <c r="B88" s="5" t="s">
        <v>291</v>
      </c>
      <c r="C88" s="5" t="s">
        <v>586</v>
      </c>
      <c r="D88" s="5" t="s">
        <v>587</v>
      </c>
      <c r="E88" s="5" t="s">
        <v>607</v>
      </c>
      <c r="F88" s="45" t="n">
        <v>2008.1</v>
      </c>
      <c r="G88" s="24" t="n">
        <v>1198</v>
      </c>
      <c r="H88" s="46" t="n">
        <v>44282.61</v>
      </c>
      <c r="I88" s="6" t="s">
        <v>591</v>
      </c>
    </row>
    <row r="89" customFormat="false" ht="15" hidden="false" customHeight="false" outlineLevel="0" collapsed="false">
      <c r="A89" s="5" t="s">
        <v>570</v>
      </c>
      <c r="B89" s="5" t="s">
        <v>304</v>
      </c>
      <c r="C89" s="5" t="s">
        <v>586</v>
      </c>
      <c r="D89" s="5" t="s">
        <v>587</v>
      </c>
      <c r="E89" s="5" t="s">
        <v>607</v>
      </c>
      <c r="F89" s="45" t="n">
        <v>2910</v>
      </c>
      <c r="G89" s="24" t="n">
        <v>1600</v>
      </c>
      <c r="H89" s="46" t="n">
        <v>32678.05</v>
      </c>
      <c r="I89" s="6" t="s">
        <v>592</v>
      </c>
    </row>
    <row r="90" customFormat="false" ht="15" hidden="false" customHeight="false" outlineLevel="0" collapsed="false">
      <c r="A90" s="5" t="s">
        <v>570</v>
      </c>
      <c r="B90" s="5" t="s">
        <v>317</v>
      </c>
      <c r="C90" s="5" t="s">
        <v>586</v>
      </c>
      <c r="D90" s="5" t="s">
        <v>587</v>
      </c>
      <c r="E90" s="5" t="s">
        <v>607</v>
      </c>
      <c r="F90" s="45" t="n">
        <v>3732.1</v>
      </c>
      <c r="G90" s="24" t="n">
        <v>2284</v>
      </c>
      <c r="H90" s="46" t="n">
        <v>133944.77</v>
      </c>
      <c r="I90" s="6" t="s">
        <v>593</v>
      </c>
    </row>
    <row r="91" customFormat="false" ht="15" hidden="false" customHeight="false" outlineLevel="0" collapsed="false">
      <c r="A91" s="5" t="s">
        <v>570</v>
      </c>
      <c r="B91" s="5" t="s">
        <v>330</v>
      </c>
      <c r="C91" s="5" t="s">
        <v>586</v>
      </c>
      <c r="D91" s="5" t="s">
        <v>587</v>
      </c>
      <c r="E91" s="5" t="s">
        <v>607</v>
      </c>
      <c r="F91" s="45" t="n">
        <v>2753</v>
      </c>
      <c r="G91" s="24" t="n">
        <v>1801</v>
      </c>
      <c r="H91" s="46" t="n">
        <v>130961.67</v>
      </c>
      <c r="I91" s="6" t="s">
        <v>594</v>
      </c>
    </row>
    <row r="92" customFormat="false" ht="15" hidden="false" customHeight="false" outlineLevel="0" collapsed="false">
      <c r="A92" s="5" t="s">
        <v>570</v>
      </c>
      <c r="B92" s="5" t="s">
        <v>343</v>
      </c>
      <c r="C92" s="5" t="s">
        <v>586</v>
      </c>
      <c r="D92" s="5" t="s">
        <v>587</v>
      </c>
      <c r="E92" s="5" t="s">
        <v>607</v>
      </c>
      <c r="F92" s="45" t="n">
        <v>2941.5</v>
      </c>
      <c r="G92" s="24" t="n">
        <v>1441</v>
      </c>
      <c r="H92" s="46" t="n">
        <v>27739.98</v>
      </c>
      <c r="I92" s="6" t="s">
        <v>595</v>
      </c>
    </row>
    <row r="93" customFormat="false" ht="15" hidden="false" customHeight="false" outlineLevel="0" collapsed="false">
      <c r="A93" s="5" t="s">
        <v>570</v>
      </c>
      <c r="B93" s="5" t="s">
        <v>356</v>
      </c>
      <c r="C93" s="5" t="s">
        <v>586</v>
      </c>
      <c r="D93" s="5" t="s">
        <v>587</v>
      </c>
      <c r="E93" s="5" t="s">
        <v>607</v>
      </c>
      <c r="F93" s="45" t="n">
        <v>6609.6</v>
      </c>
      <c r="G93" s="24" t="n">
        <v>3277</v>
      </c>
      <c r="H93" s="46" t="n">
        <v>116599.32</v>
      </c>
      <c r="I93" s="6" t="s">
        <v>596</v>
      </c>
    </row>
    <row r="94" customFormat="false" ht="15" hidden="false" customHeight="false" outlineLevel="0" collapsed="false">
      <c r="A94" s="5" t="s">
        <v>570</v>
      </c>
      <c r="B94" s="5" t="s">
        <v>369</v>
      </c>
      <c r="C94" s="5" t="s">
        <v>586</v>
      </c>
      <c r="D94" s="5" t="s">
        <v>587</v>
      </c>
      <c r="E94" s="5" t="s">
        <v>607</v>
      </c>
      <c r="F94" s="45" t="n">
        <v>1408.5</v>
      </c>
      <c r="G94" s="24" t="n">
        <v>845</v>
      </c>
      <c r="H94" s="46" t="n">
        <v>15633.6</v>
      </c>
      <c r="I94" s="6" t="s">
        <v>597</v>
      </c>
    </row>
    <row r="95" customFormat="false" ht="15" hidden="false" customHeight="false" outlineLevel="0" collapsed="false">
      <c r="A95" s="5" t="s">
        <v>569</v>
      </c>
      <c r="B95" s="5" t="s">
        <v>265</v>
      </c>
      <c r="C95" s="5" t="s">
        <v>586</v>
      </c>
      <c r="D95" s="5" t="s">
        <v>587</v>
      </c>
      <c r="E95" s="5" t="s">
        <v>607</v>
      </c>
      <c r="F95" s="45" t="n">
        <v>68057</v>
      </c>
      <c r="G95" s="24" t="n">
        <v>38732</v>
      </c>
      <c r="H95" s="46" t="n">
        <v>2591642.64</v>
      </c>
      <c r="I95" s="6" t="s">
        <v>589</v>
      </c>
    </row>
    <row r="96" customFormat="false" ht="15" hidden="false" customHeight="false" outlineLevel="0" collapsed="false">
      <c r="A96" s="5" t="s">
        <v>569</v>
      </c>
      <c r="B96" s="5" t="s">
        <v>278</v>
      </c>
      <c r="C96" s="5" t="s">
        <v>586</v>
      </c>
      <c r="D96" s="5" t="s">
        <v>587</v>
      </c>
      <c r="E96" s="5" t="s">
        <v>607</v>
      </c>
      <c r="F96" s="45" t="n">
        <v>66441.3</v>
      </c>
      <c r="G96" s="24" t="n">
        <v>37963</v>
      </c>
      <c r="H96" s="46" t="n">
        <v>1616911.49</v>
      </c>
      <c r="I96" s="6" t="s">
        <v>590</v>
      </c>
    </row>
    <row r="97" customFormat="false" ht="15" hidden="false" customHeight="false" outlineLevel="0" collapsed="false">
      <c r="A97" s="5" t="s">
        <v>569</v>
      </c>
      <c r="B97" s="5" t="s">
        <v>291</v>
      </c>
      <c r="C97" s="5" t="s">
        <v>586</v>
      </c>
      <c r="D97" s="5" t="s">
        <v>587</v>
      </c>
      <c r="E97" s="5" t="s">
        <v>607</v>
      </c>
      <c r="F97" s="45" t="n">
        <v>49244.9</v>
      </c>
      <c r="G97" s="24" t="n">
        <v>26505</v>
      </c>
      <c r="H97" s="46" t="n">
        <v>2695965.46</v>
      </c>
      <c r="I97" s="6" t="s">
        <v>591</v>
      </c>
    </row>
    <row r="98" customFormat="false" ht="15" hidden="false" customHeight="false" outlineLevel="0" collapsed="false">
      <c r="A98" s="5" t="s">
        <v>569</v>
      </c>
      <c r="B98" s="5" t="s">
        <v>304</v>
      </c>
      <c r="C98" s="5" t="s">
        <v>586</v>
      </c>
      <c r="D98" s="5" t="s">
        <v>587</v>
      </c>
      <c r="E98" s="5" t="s">
        <v>607</v>
      </c>
      <c r="F98" s="45" t="n">
        <v>43377.7</v>
      </c>
      <c r="G98" s="24" t="n">
        <v>26908</v>
      </c>
      <c r="H98" s="46" t="n">
        <v>2768462.5</v>
      </c>
      <c r="I98" s="6" t="s">
        <v>592</v>
      </c>
    </row>
    <row r="99" customFormat="false" ht="15" hidden="false" customHeight="false" outlineLevel="0" collapsed="false">
      <c r="A99" s="5" t="s">
        <v>569</v>
      </c>
      <c r="B99" s="5" t="s">
        <v>317</v>
      </c>
      <c r="C99" s="5" t="s">
        <v>586</v>
      </c>
      <c r="D99" s="5" t="s">
        <v>587</v>
      </c>
      <c r="E99" s="5" t="s">
        <v>607</v>
      </c>
      <c r="F99" s="45" t="n">
        <v>50516</v>
      </c>
      <c r="G99" s="24" t="n">
        <v>30481</v>
      </c>
      <c r="H99" s="46" t="n">
        <v>2874396.78</v>
      </c>
      <c r="I99" s="6" t="s">
        <v>593</v>
      </c>
    </row>
    <row r="100" customFormat="false" ht="15" hidden="false" customHeight="false" outlineLevel="0" collapsed="false">
      <c r="A100" s="5" t="s">
        <v>569</v>
      </c>
      <c r="B100" s="5" t="s">
        <v>330</v>
      </c>
      <c r="C100" s="5" t="s">
        <v>586</v>
      </c>
      <c r="D100" s="5" t="s">
        <v>587</v>
      </c>
      <c r="E100" s="5" t="s">
        <v>607</v>
      </c>
      <c r="F100" s="45" t="n">
        <v>53991.5</v>
      </c>
      <c r="G100" s="24" t="n">
        <v>31972</v>
      </c>
      <c r="H100" s="46" t="n">
        <v>2646797.76</v>
      </c>
      <c r="I100" s="6" t="s">
        <v>594</v>
      </c>
    </row>
    <row r="101" customFormat="false" ht="15" hidden="false" customHeight="false" outlineLevel="0" collapsed="false">
      <c r="A101" s="5" t="s">
        <v>569</v>
      </c>
      <c r="B101" s="5" t="s">
        <v>343</v>
      </c>
      <c r="C101" s="5" t="s">
        <v>586</v>
      </c>
      <c r="D101" s="5" t="s">
        <v>587</v>
      </c>
      <c r="E101" s="5" t="s">
        <v>607</v>
      </c>
      <c r="F101" s="45" t="n">
        <v>47443.8</v>
      </c>
      <c r="G101" s="24" t="n">
        <v>26426</v>
      </c>
      <c r="H101" s="46" t="n">
        <v>1661208.41</v>
      </c>
      <c r="I101" s="6" t="s">
        <v>595</v>
      </c>
    </row>
    <row r="102" customFormat="false" ht="15" hidden="false" customHeight="false" outlineLevel="0" collapsed="false">
      <c r="A102" s="5" t="s">
        <v>569</v>
      </c>
      <c r="B102" s="5" t="s">
        <v>356</v>
      </c>
      <c r="C102" s="5" t="s">
        <v>586</v>
      </c>
      <c r="D102" s="5" t="s">
        <v>587</v>
      </c>
      <c r="E102" s="5" t="s">
        <v>607</v>
      </c>
      <c r="F102" s="45" t="n">
        <v>41892.1</v>
      </c>
      <c r="G102" s="24" t="n">
        <v>25820</v>
      </c>
      <c r="H102" s="46" t="n">
        <v>608130.89</v>
      </c>
      <c r="I102" s="6" t="s">
        <v>596</v>
      </c>
    </row>
    <row r="103" customFormat="false" ht="15" hidden="false" customHeight="false" outlineLevel="0" collapsed="false">
      <c r="A103" s="5" t="s">
        <v>569</v>
      </c>
      <c r="B103" s="5" t="s">
        <v>369</v>
      </c>
      <c r="C103" s="5" t="s">
        <v>586</v>
      </c>
      <c r="D103" s="5" t="s">
        <v>587</v>
      </c>
      <c r="E103" s="5" t="s">
        <v>607</v>
      </c>
      <c r="F103" s="45" t="n">
        <v>7461.4</v>
      </c>
      <c r="G103" s="24" t="n">
        <v>5231</v>
      </c>
      <c r="H103" s="46" t="n">
        <v>77544.76</v>
      </c>
      <c r="I103" s="6" t="s">
        <v>597</v>
      </c>
    </row>
    <row r="104" customFormat="false" ht="15" hidden="false" customHeight="false" outlineLevel="0" collapsed="false">
      <c r="A104" s="5" t="s">
        <v>608</v>
      </c>
      <c r="B104" s="5" t="s">
        <v>265</v>
      </c>
      <c r="C104" s="5" t="s">
        <v>586</v>
      </c>
      <c r="D104" s="5" t="s">
        <v>587</v>
      </c>
      <c r="E104" s="5" t="s">
        <v>607</v>
      </c>
      <c r="F104" s="45" t="n">
        <v>37812.9</v>
      </c>
      <c r="G104" s="24" t="n">
        <v>23962</v>
      </c>
      <c r="H104" s="46" t="n">
        <v>1802090.28</v>
      </c>
      <c r="I104" s="6" t="s">
        <v>589</v>
      </c>
    </row>
    <row r="105" customFormat="false" ht="15" hidden="false" customHeight="false" outlineLevel="0" collapsed="false">
      <c r="A105" s="5" t="s">
        <v>608</v>
      </c>
      <c r="B105" s="5" t="s">
        <v>278</v>
      </c>
      <c r="C105" s="5" t="s">
        <v>586</v>
      </c>
      <c r="D105" s="5" t="s">
        <v>587</v>
      </c>
      <c r="E105" s="5" t="s">
        <v>607</v>
      </c>
      <c r="F105" s="45" t="n">
        <v>39308.4</v>
      </c>
      <c r="G105" s="24" t="n">
        <v>23594</v>
      </c>
      <c r="H105" s="46" t="n">
        <v>2706699.12</v>
      </c>
      <c r="I105" s="6" t="s">
        <v>590</v>
      </c>
    </row>
    <row r="106" customFormat="false" ht="15" hidden="false" customHeight="false" outlineLevel="0" collapsed="false">
      <c r="A106" s="5" t="s">
        <v>608</v>
      </c>
      <c r="B106" s="5" t="s">
        <v>291</v>
      </c>
      <c r="C106" s="5" t="s">
        <v>586</v>
      </c>
      <c r="D106" s="5" t="s">
        <v>587</v>
      </c>
      <c r="E106" s="5" t="s">
        <v>607</v>
      </c>
      <c r="F106" s="45" t="n">
        <v>32740.8</v>
      </c>
      <c r="G106" s="24" t="n">
        <v>20308</v>
      </c>
      <c r="H106" s="46" t="n">
        <v>1599766.68</v>
      </c>
      <c r="I106" s="6" t="s">
        <v>591</v>
      </c>
    </row>
    <row r="107" customFormat="false" ht="15" hidden="false" customHeight="false" outlineLevel="0" collapsed="false">
      <c r="A107" s="5" t="s">
        <v>608</v>
      </c>
      <c r="B107" s="5" t="s">
        <v>304</v>
      </c>
      <c r="C107" s="5" t="s">
        <v>586</v>
      </c>
      <c r="D107" s="5" t="s">
        <v>587</v>
      </c>
      <c r="E107" s="5" t="s">
        <v>607</v>
      </c>
      <c r="F107" s="45" t="n">
        <v>35271</v>
      </c>
      <c r="G107" s="24" t="n">
        <v>22909</v>
      </c>
      <c r="H107" s="46" t="n">
        <v>1513537.37</v>
      </c>
      <c r="I107" s="6" t="s">
        <v>592</v>
      </c>
    </row>
    <row r="108" customFormat="false" ht="15" hidden="false" customHeight="false" outlineLevel="0" collapsed="false">
      <c r="A108" s="5" t="s">
        <v>608</v>
      </c>
      <c r="B108" s="5" t="s">
        <v>317</v>
      </c>
      <c r="C108" s="5" t="s">
        <v>586</v>
      </c>
      <c r="D108" s="5" t="s">
        <v>587</v>
      </c>
      <c r="E108" s="5" t="s">
        <v>607</v>
      </c>
      <c r="F108" s="45" t="n">
        <v>43871.4</v>
      </c>
      <c r="G108" s="24" t="n">
        <v>29164</v>
      </c>
      <c r="H108" s="46" t="n">
        <v>1873817.23</v>
      </c>
      <c r="I108" s="6" t="s">
        <v>593</v>
      </c>
    </row>
    <row r="109" customFormat="false" ht="15" hidden="false" customHeight="false" outlineLevel="0" collapsed="false">
      <c r="A109" s="5" t="s">
        <v>608</v>
      </c>
      <c r="B109" s="5" t="s">
        <v>330</v>
      </c>
      <c r="C109" s="5" t="s">
        <v>586</v>
      </c>
      <c r="D109" s="5" t="s">
        <v>587</v>
      </c>
      <c r="E109" s="5" t="s">
        <v>607</v>
      </c>
      <c r="F109" s="45" t="n">
        <v>49469.1</v>
      </c>
      <c r="G109" s="24" t="n">
        <v>32452</v>
      </c>
      <c r="H109" s="46" t="n">
        <v>4243198.76</v>
      </c>
      <c r="I109" s="6" t="s">
        <v>594</v>
      </c>
    </row>
    <row r="110" customFormat="false" ht="15" hidden="false" customHeight="false" outlineLevel="0" collapsed="false">
      <c r="A110" s="5" t="s">
        <v>608</v>
      </c>
      <c r="B110" s="5" t="s">
        <v>343</v>
      </c>
      <c r="C110" s="5" t="s">
        <v>586</v>
      </c>
      <c r="D110" s="5" t="s">
        <v>587</v>
      </c>
      <c r="E110" s="5" t="s">
        <v>607</v>
      </c>
      <c r="F110" s="45" t="n">
        <v>44292.1</v>
      </c>
      <c r="G110" s="24" t="n">
        <v>27980</v>
      </c>
      <c r="H110" s="46" t="n">
        <v>1952666.06</v>
      </c>
      <c r="I110" s="6" t="s">
        <v>595</v>
      </c>
    </row>
    <row r="111" customFormat="false" ht="15" hidden="false" customHeight="false" outlineLevel="0" collapsed="false">
      <c r="A111" s="5" t="s">
        <v>608</v>
      </c>
      <c r="B111" s="5" t="s">
        <v>356</v>
      </c>
      <c r="C111" s="5" t="s">
        <v>586</v>
      </c>
      <c r="D111" s="5" t="s">
        <v>587</v>
      </c>
      <c r="E111" s="5" t="s">
        <v>607</v>
      </c>
      <c r="F111" s="45" t="n">
        <v>48774.7</v>
      </c>
      <c r="G111" s="24" t="n">
        <v>28725</v>
      </c>
      <c r="H111" s="46" t="n">
        <v>1171823.88</v>
      </c>
      <c r="I111" s="6" t="s">
        <v>596</v>
      </c>
    </row>
    <row r="112" customFormat="false" ht="15" hidden="false" customHeight="false" outlineLevel="0" collapsed="false">
      <c r="A112" s="5" t="s">
        <v>608</v>
      </c>
      <c r="B112" s="5" t="s">
        <v>369</v>
      </c>
      <c r="C112" s="5" t="s">
        <v>586</v>
      </c>
      <c r="D112" s="5" t="s">
        <v>587</v>
      </c>
      <c r="E112" s="5" t="s">
        <v>607</v>
      </c>
      <c r="F112" s="45" t="n">
        <v>8484.6</v>
      </c>
      <c r="G112" s="24" t="n">
        <v>5130</v>
      </c>
      <c r="H112" s="46" t="n">
        <v>140148.13</v>
      </c>
      <c r="I112" s="6" t="s">
        <v>597</v>
      </c>
    </row>
    <row r="113" customFormat="false" ht="15" hidden="false" customHeight="false" outlineLevel="0" collapsed="false">
      <c r="A113" s="5" t="s">
        <v>571</v>
      </c>
      <c r="B113" s="5" t="s">
        <v>265</v>
      </c>
      <c r="C113" s="5" t="s">
        <v>586</v>
      </c>
      <c r="D113" s="5" t="s">
        <v>587</v>
      </c>
      <c r="E113" s="5" t="s">
        <v>607</v>
      </c>
      <c r="F113" s="45" t="n">
        <v>11682.6</v>
      </c>
      <c r="G113" s="24" t="n">
        <v>6590</v>
      </c>
      <c r="H113" s="46" t="n">
        <v>267263.28</v>
      </c>
      <c r="I113" s="6" t="s">
        <v>589</v>
      </c>
    </row>
    <row r="114" customFormat="false" ht="15" hidden="false" customHeight="false" outlineLevel="0" collapsed="false">
      <c r="A114" s="5" t="s">
        <v>571</v>
      </c>
      <c r="B114" s="5" t="s">
        <v>278</v>
      </c>
      <c r="C114" s="5" t="s">
        <v>586</v>
      </c>
      <c r="D114" s="5" t="s">
        <v>587</v>
      </c>
      <c r="E114" s="5" t="s">
        <v>607</v>
      </c>
      <c r="F114" s="45" t="n">
        <v>12558.6</v>
      </c>
      <c r="G114" s="24" t="n">
        <v>7132</v>
      </c>
      <c r="H114" s="46" t="n">
        <v>1035204.34</v>
      </c>
      <c r="I114" s="6" t="s">
        <v>590</v>
      </c>
    </row>
    <row r="115" customFormat="false" ht="15" hidden="false" customHeight="false" outlineLevel="0" collapsed="false">
      <c r="A115" s="5" t="s">
        <v>571</v>
      </c>
      <c r="B115" s="5" t="s">
        <v>291</v>
      </c>
      <c r="C115" s="5" t="s">
        <v>586</v>
      </c>
      <c r="D115" s="5" t="s">
        <v>587</v>
      </c>
      <c r="E115" s="5" t="s">
        <v>607</v>
      </c>
      <c r="F115" s="45" t="n">
        <v>9912.8</v>
      </c>
      <c r="G115" s="24" t="n">
        <v>4566</v>
      </c>
      <c r="H115" s="46" t="n">
        <v>521494.31</v>
      </c>
      <c r="I115" s="6" t="s">
        <v>591</v>
      </c>
    </row>
    <row r="116" customFormat="false" ht="15" hidden="false" customHeight="false" outlineLevel="0" collapsed="false">
      <c r="A116" s="5" t="s">
        <v>571</v>
      </c>
      <c r="B116" s="5" t="s">
        <v>304</v>
      </c>
      <c r="C116" s="5" t="s">
        <v>586</v>
      </c>
      <c r="D116" s="5" t="s">
        <v>587</v>
      </c>
      <c r="E116" s="5" t="s">
        <v>607</v>
      </c>
      <c r="F116" s="45" t="n">
        <v>12246.3</v>
      </c>
      <c r="G116" s="24" t="n">
        <v>4819</v>
      </c>
      <c r="H116" s="46" t="n">
        <v>490866.04</v>
      </c>
      <c r="I116" s="6" t="s">
        <v>592</v>
      </c>
    </row>
    <row r="117" customFormat="false" ht="15" hidden="false" customHeight="false" outlineLevel="0" collapsed="false">
      <c r="A117" s="5" t="s">
        <v>571</v>
      </c>
      <c r="B117" s="5" t="s">
        <v>317</v>
      </c>
      <c r="C117" s="5" t="s">
        <v>586</v>
      </c>
      <c r="D117" s="5" t="s">
        <v>587</v>
      </c>
      <c r="E117" s="5" t="s">
        <v>607</v>
      </c>
      <c r="F117" s="45" t="n">
        <v>15299.8</v>
      </c>
      <c r="G117" s="24" t="n">
        <v>5912</v>
      </c>
      <c r="H117" s="46" t="n">
        <v>194977.18</v>
      </c>
      <c r="I117" s="6" t="s">
        <v>593</v>
      </c>
    </row>
    <row r="118" customFormat="false" ht="15" hidden="false" customHeight="false" outlineLevel="0" collapsed="false">
      <c r="A118" s="5" t="s">
        <v>571</v>
      </c>
      <c r="B118" s="5" t="s">
        <v>330</v>
      </c>
      <c r="C118" s="5" t="s">
        <v>586</v>
      </c>
      <c r="D118" s="5" t="s">
        <v>587</v>
      </c>
      <c r="E118" s="5" t="s">
        <v>607</v>
      </c>
      <c r="F118" s="45" t="n">
        <v>8514.2</v>
      </c>
      <c r="G118" s="24" t="n">
        <v>4410</v>
      </c>
      <c r="H118" s="46" t="n">
        <v>85548.47</v>
      </c>
      <c r="I118" s="6" t="s">
        <v>594</v>
      </c>
    </row>
    <row r="119" customFormat="false" ht="15" hidden="false" customHeight="false" outlineLevel="0" collapsed="false">
      <c r="A119" s="5" t="s">
        <v>571</v>
      </c>
      <c r="B119" s="5" t="s">
        <v>343</v>
      </c>
      <c r="C119" s="5" t="s">
        <v>586</v>
      </c>
      <c r="D119" s="5" t="s">
        <v>587</v>
      </c>
      <c r="E119" s="5" t="s">
        <v>607</v>
      </c>
      <c r="F119" s="45" t="n">
        <v>4171.4</v>
      </c>
      <c r="G119" s="24" t="n">
        <v>2375</v>
      </c>
      <c r="H119" s="46" t="n">
        <v>57339.54</v>
      </c>
      <c r="I119" s="6" t="s">
        <v>595</v>
      </c>
    </row>
    <row r="120" customFormat="false" ht="15" hidden="false" customHeight="false" outlineLevel="0" collapsed="false">
      <c r="A120" s="5" t="s">
        <v>571</v>
      </c>
      <c r="B120" s="5" t="s">
        <v>356</v>
      </c>
      <c r="C120" s="5" t="s">
        <v>586</v>
      </c>
      <c r="D120" s="5" t="s">
        <v>587</v>
      </c>
      <c r="E120" s="5" t="s">
        <v>607</v>
      </c>
      <c r="F120" s="45" t="n">
        <v>3513.4</v>
      </c>
      <c r="G120" s="24" t="n">
        <v>2478</v>
      </c>
      <c r="H120" s="46" t="n">
        <v>91399.99</v>
      </c>
      <c r="I120" s="6" t="s">
        <v>596</v>
      </c>
    </row>
    <row r="121" customFormat="false" ht="15" hidden="false" customHeight="false" outlineLevel="0" collapsed="false">
      <c r="A121" s="5" t="s">
        <v>571</v>
      </c>
      <c r="B121" s="5" t="s">
        <v>369</v>
      </c>
      <c r="C121" s="5" t="s">
        <v>586</v>
      </c>
      <c r="D121" s="5" t="s">
        <v>587</v>
      </c>
      <c r="E121" s="5" t="s">
        <v>607</v>
      </c>
      <c r="F121" s="45" t="n">
        <v>774.8</v>
      </c>
      <c r="G121" s="24" t="n">
        <v>571</v>
      </c>
      <c r="H121" s="46" t="n">
        <v>2691.85</v>
      </c>
      <c r="I121" s="6" t="s">
        <v>597</v>
      </c>
    </row>
    <row r="122" customFormat="false" ht="15" hidden="false" customHeight="false" outlineLevel="0" collapsed="false">
      <c r="A122" s="5" t="s">
        <v>609</v>
      </c>
      <c r="B122" s="5" t="s">
        <v>265</v>
      </c>
      <c r="C122" s="5" t="s">
        <v>586</v>
      </c>
      <c r="D122" s="5" t="s">
        <v>587</v>
      </c>
      <c r="E122" s="5" t="s">
        <v>607</v>
      </c>
      <c r="F122" s="45" t="n">
        <v>14354.9</v>
      </c>
      <c r="G122" s="24" t="n">
        <v>3768</v>
      </c>
      <c r="H122" s="46" t="n">
        <v>251020.54</v>
      </c>
      <c r="I122" s="6" t="s">
        <v>589</v>
      </c>
    </row>
    <row r="123" customFormat="false" ht="15" hidden="false" customHeight="false" outlineLevel="0" collapsed="false">
      <c r="A123" s="5" t="s">
        <v>609</v>
      </c>
      <c r="B123" s="5" t="s">
        <v>278</v>
      </c>
      <c r="C123" s="5" t="s">
        <v>586</v>
      </c>
      <c r="D123" s="5" t="s">
        <v>587</v>
      </c>
      <c r="E123" s="5" t="s">
        <v>607</v>
      </c>
      <c r="F123" s="45" t="n">
        <v>12837.8</v>
      </c>
      <c r="G123" s="24" t="n">
        <v>4197</v>
      </c>
      <c r="H123" s="46" t="n">
        <v>483822.08</v>
      </c>
      <c r="I123" s="6" t="s">
        <v>590</v>
      </c>
    </row>
    <row r="124" customFormat="false" ht="15" hidden="false" customHeight="false" outlineLevel="0" collapsed="false">
      <c r="A124" s="5" t="s">
        <v>609</v>
      </c>
      <c r="B124" s="5" t="s">
        <v>291</v>
      </c>
      <c r="C124" s="5" t="s">
        <v>586</v>
      </c>
      <c r="D124" s="5" t="s">
        <v>587</v>
      </c>
      <c r="E124" s="5" t="s">
        <v>607</v>
      </c>
      <c r="F124" s="45" t="n">
        <v>6359</v>
      </c>
      <c r="G124" s="24" t="n">
        <v>3181</v>
      </c>
      <c r="H124" s="46" t="n">
        <v>339862.7</v>
      </c>
      <c r="I124" s="6" t="s">
        <v>591</v>
      </c>
    </row>
    <row r="125" customFormat="false" ht="15" hidden="false" customHeight="false" outlineLevel="0" collapsed="false">
      <c r="A125" s="5" t="s">
        <v>609</v>
      </c>
      <c r="B125" s="5" t="s">
        <v>304</v>
      </c>
      <c r="C125" s="5" t="s">
        <v>586</v>
      </c>
      <c r="D125" s="5" t="s">
        <v>587</v>
      </c>
      <c r="E125" s="5" t="s">
        <v>607</v>
      </c>
      <c r="F125" s="45" t="n">
        <v>5127.3</v>
      </c>
      <c r="G125" s="24" t="n">
        <v>3555</v>
      </c>
      <c r="H125" s="46" t="n">
        <v>438797.55</v>
      </c>
      <c r="I125" s="6" t="s">
        <v>592</v>
      </c>
    </row>
    <row r="126" customFormat="false" ht="15" hidden="false" customHeight="false" outlineLevel="0" collapsed="false">
      <c r="A126" s="5" t="s">
        <v>609</v>
      </c>
      <c r="B126" s="5" t="s">
        <v>317</v>
      </c>
      <c r="C126" s="5" t="s">
        <v>586</v>
      </c>
      <c r="D126" s="5" t="s">
        <v>587</v>
      </c>
      <c r="E126" s="5" t="s">
        <v>607</v>
      </c>
      <c r="F126" s="45" t="n">
        <v>6567.7</v>
      </c>
      <c r="G126" s="24" t="n">
        <v>4511</v>
      </c>
      <c r="H126" s="46" t="n">
        <v>783224.59</v>
      </c>
      <c r="I126" s="6" t="s">
        <v>593</v>
      </c>
    </row>
    <row r="127" customFormat="false" ht="15" hidden="false" customHeight="false" outlineLevel="0" collapsed="false">
      <c r="A127" s="5" t="s">
        <v>609</v>
      </c>
      <c r="B127" s="5" t="s">
        <v>330</v>
      </c>
      <c r="C127" s="5" t="s">
        <v>586</v>
      </c>
      <c r="D127" s="5" t="s">
        <v>587</v>
      </c>
      <c r="E127" s="5" t="s">
        <v>607</v>
      </c>
      <c r="F127" s="45" t="n">
        <v>3354.2</v>
      </c>
      <c r="G127" s="24" t="n">
        <v>2244</v>
      </c>
      <c r="H127" s="46" t="n">
        <v>310295.93</v>
      </c>
      <c r="I127" s="6" t="s">
        <v>594</v>
      </c>
    </row>
    <row r="128" customFormat="false" ht="15" hidden="false" customHeight="false" outlineLevel="0" collapsed="false">
      <c r="A128" s="5" t="s">
        <v>609</v>
      </c>
      <c r="B128" s="5" t="s">
        <v>343</v>
      </c>
      <c r="C128" s="5" t="s">
        <v>586</v>
      </c>
      <c r="D128" s="5" t="s">
        <v>587</v>
      </c>
      <c r="E128" s="5" t="s">
        <v>607</v>
      </c>
      <c r="F128" s="45" t="n">
        <v>1567.9</v>
      </c>
      <c r="G128" s="24" t="n">
        <v>985</v>
      </c>
      <c r="H128" s="46" t="n">
        <v>53590.2</v>
      </c>
      <c r="I128" s="6" t="s">
        <v>595</v>
      </c>
    </row>
    <row r="129" customFormat="false" ht="15" hidden="false" customHeight="false" outlineLevel="0" collapsed="false">
      <c r="A129" s="5" t="s">
        <v>609</v>
      </c>
      <c r="B129" s="5" t="s">
        <v>356</v>
      </c>
      <c r="C129" s="5" t="s">
        <v>586</v>
      </c>
      <c r="D129" s="5" t="s">
        <v>587</v>
      </c>
      <c r="E129" s="5" t="s">
        <v>607</v>
      </c>
      <c r="F129" s="45" t="n">
        <v>3938.1</v>
      </c>
      <c r="G129" s="24" t="n">
        <v>2317</v>
      </c>
      <c r="H129" s="46" t="n">
        <v>79890.64</v>
      </c>
      <c r="I129" s="6" t="s">
        <v>596</v>
      </c>
    </row>
    <row r="130" customFormat="false" ht="15" hidden="false" customHeight="false" outlineLevel="0" collapsed="false">
      <c r="A130" s="5" t="s">
        <v>609</v>
      </c>
      <c r="B130" s="5" t="s">
        <v>369</v>
      </c>
      <c r="C130" s="5" t="s">
        <v>586</v>
      </c>
      <c r="D130" s="5" t="s">
        <v>587</v>
      </c>
      <c r="E130" s="5" t="s">
        <v>607</v>
      </c>
      <c r="F130" s="45" t="n">
        <v>499.6</v>
      </c>
      <c r="G130" s="24" t="n">
        <v>375</v>
      </c>
      <c r="H130" s="46" t="n">
        <v>8836.1</v>
      </c>
      <c r="I130" s="6" t="s">
        <v>597</v>
      </c>
    </row>
    <row r="131" customFormat="false" ht="15" hidden="false" customHeight="false" outlineLevel="0" collapsed="false">
      <c r="A131" s="5" t="s">
        <v>610</v>
      </c>
      <c r="B131" s="5" t="s">
        <v>265</v>
      </c>
      <c r="C131" s="5" t="s">
        <v>586</v>
      </c>
      <c r="D131" s="5" t="s">
        <v>587</v>
      </c>
      <c r="E131" s="5" t="s">
        <v>611</v>
      </c>
      <c r="F131" s="45" t="n">
        <v>1671.1</v>
      </c>
      <c r="G131" s="24" t="n">
        <v>1546</v>
      </c>
      <c r="H131" s="46" t="n">
        <v>157694.09</v>
      </c>
      <c r="I131" s="6" t="s">
        <v>589</v>
      </c>
    </row>
    <row r="132" customFormat="false" ht="15" hidden="false" customHeight="false" outlineLevel="0" collapsed="false">
      <c r="A132" s="5" t="s">
        <v>610</v>
      </c>
      <c r="B132" s="5" t="s">
        <v>278</v>
      </c>
      <c r="C132" s="5" t="s">
        <v>586</v>
      </c>
      <c r="D132" s="5" t="s">
        <v>587</v>
      </c>
      <c r="E132" s="5" t="s">
        <v>611</v>
      </c>
      <c r="F132" s="45" t="n">
        <v>8735.2</v>
      </c>
      <c r="G132" s="24" t="n">
        <v>8111</v>
      </c>
      <c r="H132" s="46" t="n">
        <v>918763.34</v>
      </c>
      <c r="I132" s="6" t="s">
        <v>590</v>
      </c>
    </row>
    <row r="133" customFormat="false" ht="15" hidden="false" customHeight="false" outlineLevel="0" collapsed="false">
      <c r="A133" s="5" t="s">
        <v>610</v>
      </c>
      <c r="B133" s="5" t="s">
        <v>291</v>
      </c>
      <c r="C133" s="5" t="s">
        <v>586</v>
      </c>
      <c r="D133" s="5" t="s">
        <v>587</v>
      </c>
      <c r="E133" s="5" t="s">
        <v>611</v>
      </c>
      <c r="F133" s="45" t="n">
        <v>7906.3</v>
      </c>
      <c r="G133" s="24" t="n">
        <v>6973</v>
      </c>
      <c r="H133" s="46" t="n">
        <v>1137772.85</v>
      </c>
      <c r="I133" s="6" t="s">
        <v>591</v>
      </c>
    </row>
    <row r="134" customFormat="false" ht="15" hidden="false" customHeight="false" outlineLevel="0" collapsed="false">
      <c r="A134" s="5" t="s">
        <v>610</v>
      </c>
      <c r="B134" s="5" t="s">
        <v>304</v>
      </c>
      <c r="C134" s="5" t="s">
        <v>586</v>
      </c>
      <c r="D134" s="5" t="s">
        <v>587</v>
      </c>
      <c r="E134" s="5" t="s">
        <v>611</v>
      </c>
      <c r="F134" s="45" t="n">
        <v>9221.1</v>
      </c>
      <c r="G134" s="24" t="n">
        <v>8454</v>
      </c>
      <c r="H134" s="46" t="n">
        <v>984320.8</v>
      </c>
      <c r="I134" s="6" t="s">
        <v>592</v>
      </c>
    </row>
    <row r="135" customFormat="false" ht="15" hidden="false" customHeight="false" outlineLevel="0" collapsed="false">
      <c r="A135" s="5" t="s">
        <v>610</v>
      </c>
      <c r="B135" s="5" t="s">
        <v>317</v>
      </c>
      <c r="C135" s="5" t="s">
        <v>586</v>
      </c>
      <c r="D135" s="5" t="s">
        <v>587</v>
      </c>
      <c r="E135" s="5" t="s">
        <v>611</v>
      </c>
      <c r="F135" s="45" t="n">
        <v>16496.8</v>
      </c>
      <c r="G135" s="24" t="n">
        <v>8114</v>
      </c>
      <c r="H135" s="46" t="n">
        <v>1194934.51</v>
      </c>
      <c r="I135" s="6" t="s">
        <v>593</v>
      </c>
    </row>
    <row r="136" customFormat="false" ht="15" hidden="false" customHeight="false" outlineLevel="0" collapsed="false">
      <c r="A136" s="5" t="s">
        <v>610</v>
      </c>
      <c r="B136" s="5" t="s">
        <v>330</v>
      </c>
      <c r="C136" s="5" t="s">
        <v>586</v>
      </c>
      <c r="D136" s="5" t="s">
        <v>587</v>
      </c>
      <c r="E136" s="5" t="s">
        <v>611</v>
      </c>
      <c r="F136" s="45" t="n">
        <v>3474.2</v>
      </c>
      <c r="G136" s="24" t="n">
        <v>3039</v>
      </c>
      <c r="H136" s="46" t="n">
        <v>495885.39</v>
      </c>
      <c r="I136" s="6" t="s">
        <v>594</v>
      </c>
    </row>
    <row r="137" customFormat="false" ht="15" hidden="false" customHeight="false" outlineLevel="0" collapsed="false">
      <c r="A137" s="5" t="s">
        <v>610</v>
      </c>
      <c r="B137" s="5" t="s">
        <v>343</v>
      </c>
      <c r="C137" s="5" t="s">
        <v>586</v>
      </c>
      <c r="D137" s="5" t="s">
        <v>587</v>
      </c>
      <c r="E137" s="5" t="s">
        <v>611</v>
      </c>
      <c r="F137" s="45" t="n">
        <v>3450.8</v>
      </c>
      <c r="G137" s="24" t="n">
        <v>2609</v>
      </c>
      <c r="H137" s="46" t="n">
        <v>68705.95</v>
      </c>
      <c r="I137" s="6" t="s">
        <v>595</v>
      </c>
    </row>
    <row r="138" customFormat="false" ht="15" hidden="false" customHeight="false" outlineLevel="0" collapsed="false">
      <c r="A138" s="5" t="s">
        <v>610</v>
      </c>
      <c r="B138" s="5" t="s">
        <v>356</v>
      </c>
      <c r="C138" s="5" t="s">
        <v>586</v>
      </c>
      <c r="D138" s="5" t="s">
        <v>587</v>
      </c>
      <c r="E138" s="5" t="s">
        <v>611</v>
      </c>
      <c r="F138" s="45" t="n">
        <v>13089.3</v>
      </c>
      <c r="G138" s="24" t="n">
        <v>7338</v>
      </c>
      <c r="H138" s="46" t="n">
        <v>425585.95</v>
      </c>
      <c r="I138" s="6" t="s">
        <v>596</v>
      </c>
    </row>
    <row r="139" customFormat="false" ht="15" hidden="false" customHeight="false" outlineLevel="0" collapsed="false">
      <c r="A139" s="5" t="s">
        <v>610</v>
      </c>
      <c r="B139" s="5" t="s">
        <v>369</v>
      </c>
      <c r="C139" s="5" t="s">
        <v>586</v>
      </c>
      <c r="D139" s="5" t="s">
        <v>587</v>
      </c>
      <c r="E139" s="5" t="s">
        <v>611</v>
      </c>
      <c r="F139" s="45" t="n">
        <v>2440.8</v>
      </c>
      <c r="G139" s="24" t="n">
        <v>987</v>
      </c>
      <c r="H139" s="46" t="n">
        <v>19547.72</v>
      </c>
      <c r="I139" s="6" t="s">
        <v>597</v>
      </c>
    </row>
    <row r="140" customFormat="false" ht="15" hidden="false" customHeight="false" outlineLevel="0" collapsed="false">
      <c r="A140" s="5" t="s">
        <v>612</v>
      </c>
      <c r="B140" s="5" t="s">
        <v>265</v>
      </c>
      <c r="C140" s="5" t="s">
        <v>586</v>
      </c>
      <c r="D140" s="5" t="s">
        <v>587</v>
      </c>
      <c r="E140" s="5" t="s">
        <v>611</v>
      </c>
      <c r="F140" s="45" t="n">
        <v>767</v>
      </c>
      <c r="G140" s="24" t="n">
        <v>714</v>
      </c>
      <c r="H140" s="46" t="n">
        <v>77043.08</v>
      </c>
      <c r="I140" s="6" t="s">
        <v>589</v>
      </c>
    </row>
    <row r="141" customFormat="false" ht="15" hidden="false" customHeight="false" outlineLevel="0" collapsed="false">
      <c r="A141" s="5" t="s">
        <v>612</v>
      </c>
      <c r="B141" s="5" t="s">
        <v>278</v>
      </c>
      <c r="C141" s="5" t="s">
        <v>586</v>
      </c>
      <c r="D141" s="5" t="s">
        <v>587</v>
      </c>
      <c r="E141" s="5" t="s">
        <v>611</v>
      </c>
      <c r="F141" s="45" t="n">
        <v>3747.7</v>
      </c>
      <c r="G141" s="24" t="n">
        <v>3506</v>
      </c>
      <c r="H141" s="46" t="n">
        <v>494428.15</v>
      </c>
      <c r="I141" s="6" t="s">
        <v>590</v>
      </c>
    </row>
    <row r="142" customFormat="false" ht="15" hidden="false" customHeight="false" outlineLevel="0" collapsed="false">
      <c r="A142" s="5" t="s">
        <v>612</v>
      </c>
      <c r="B142" s="5" t="s">
        <v>291</v>
      </c>
      <c r="C142" s="5" t="s">
        <v>586</v>
      </c>
      <c r="D142" s="5" t="s">
        <v>587</v>
      </c>
      <c r="E142" s="5" t="s">
        <v>611</v>
      </c>
      <c r="F142" s="45" t="n">
        <v>2863.4</v>
      </c>
      <c r="G142" s="24" t="n">
        <v>2660</v>
      </c>
      <c r="H142" s="46" t="n">
        <v>235102.07</v>
      </c>
      <c r="I142" s="6" t="s">
        <v>591</v>
      </c>
    </row>
    <row r="143" customFormat="false" ht="15" hidden="false" customHeight="false" outlineLevel="0" collapsed="false">
      <c r="A143" s="5" t="s">
        <v>612</v>
      </c>
      <c r="B143" s="5" t="s">
        <v>304</v>
      </c>
      <c r="C143" s="5" t="s">
        <v>586</v>
      </c>
      <c r="D143" s="5" t="s">
        <v>587</v>
      </c>
      <c r="E143" s="5" t="s">
        <v>611</v>
      </c>
      <c r="F143" s="45" t="n">
        <v>4917</v>
      </c>
      <c r="G143" s="24" t="n">
        <v>4531</v>
      </c>
      <c r="H143" s="46" t="n">
        <v>272555.41</v>
      </c>
      <c r="I143" s="6" t="s">
        <v>592</v>
      </c>
    </row>
    <row r="144" customFormat="false" ht="15" hidden="false" customHeight="false" outlineLevel="0" collapsed="false">
      <c r="A144" s="5" t="s">
        <v>612</v>
      </c>
      <c r="B144" s="5" t="s">
        <v>317</v>
      </c>
      <c r="C144" s="5" t="s">
        <v>586</v>
      </c>
      <c r="D144" s="5" t="s">
        <v>587</v>
      </c>
      <c r="E144" s="5" t="s">
        <v>611</v>
      </c>
      <c r="F144" s="45" t="n">
        <v>6650.6</v>
      </c>
      <c r="G144" s="24" t="n">
        <v>6343</v>
      </c>
      <c r="H144" s="46" t="n">
        <v>432738.1</v>
      </c>
      <c r="I144" s="6" t="s">
        <v>593</v>
      </c>
    </row>
    <row r="145" customFormat="false" ht="15" hidden="false" customHeight="false" outlineLevel="0" collapsed="false">
      <c r="A145" s="5" t="s">
        <v>612</v>
      </c>
      <c r="B145" s="5" t="s">
        <v>330</v>
      </c>
      <c r="C145" s="5" t="s">
        <v>586</v>
      </c>
      <c r="D145" s="5" t="s">
        <v>587</v>
      </c>
      <c r="E145" s="5" t="s">
        <v>611</v>
      </c>
      <c r="F145" s="45" t="n">
        <v>4161.5</v>
      </c>
      <c r="G145" s="24" t="n">
        <v>3839</v>
      </c>
      <c r="H145" s="46" t="n">
        <v>105769.49</v>
      </c>
      <c r="I145" s="6" t="s">
        <v>594</v>
      </c>
    </row>
    <row r="146" customFormat="false" ht="15" hidden="false" customHeight="false" outlineLevel="0" collapsed="false">
      <c r="A146" s="5" t="s">
        <v>612</v>
      </c>
      <c r="B146" s="5" t="s">
        <v>343</v>
      </c>
      <c r="C146" s="5" t="s">
        <v>586</v>
      </c>
      <c r="D146" s="5" t="s">
        <v>587</v>
      </c>
      <c r="E146" s="5" t="s">
        <v>611</v>
      </c>
      <c r="F146" s="45" t="n">
        <v>3536.1</v>
      </c>
      <c r="G146" s="24" t="n">
        <v>2550</v>
      </c>
      <c r="H146" s="46" t="n">
        <v>88684.75</v>
      </c>
      <c r="I146" s="6" t="s">
        <v>595</v>
      </c>
    </row>
    <row r="147" customFormat="false" ht="15" hidden="false" customHeight="false" outlineLevel="0" collapsed="false">
      <c r="A147" s="5" t="s">
        <v>612</v>
      </c>
      <c r="B147" s="5" t="s">
        <v>356</v>
      </c>
      <c r="C147" s="5" t="s">
        <v>586</v>
      </c>
      <c r="D147" s="5" t="s">
        <v>587</v>
      </c>
      <c r="E147" s="5" t="s">
        <v>611</v>
      </c>
      <c r="F147" s="45" t="n">
        <v>9061</v>
      </c>
      <c r="G147" s="24" t="n">
        <v>7172</v>
      </c>
      <c r="H147" s="46" t="n">
        <v>303864.73</v>
      </c>
      <c r="I147" s="6" t="s">
        <v>596</v>
      </c>
    </row>
    <row r="148" customFormat="false" ht="15" hidden="false" customHeight="false" outlineLevel="0" collapsed="false">
      <c r="A148" s="5" t="s">
        <v>612</v>
      </c>
      <c r="B148" s="5" t="s">
        <v>369</v>
      </c>
      <c r="C148" s="5" t="s">
        <v>586</v>
      </c>
      <c r="D148" s="5" t="s">
        <v>587</v>
      </c>
      <c r="E148" s="5" t="s">
        <v>611</v>
      </c>
      <c r="F148" s="45" t="n">
        <v>2230.4</v>
      </c>
      <c r="G148" s="24" t="n">
        <v>2477</v>
      </c>
      <c r="H148" s="46" t="n">
        <v>48003.59</v>
      </c>
      <c r="I148" s="6" t="s">
        <v>597</v>
      </c>
    </row>
    <row r="149" customFormat="false" ht="15" hidden="false" customHeight="false" outlineLevel="0" collapsed="false">
      <c r="A149" s="5" t="s">
        <v>568</v>
      </c>
      <c r="B149" s="5" t="s">
        <v>265</v>
      </c>
      <c r="C149" s="5" t="s">
        <v>586</v>
      </c>
      <c r="D149" s="5" t="s">
        <v>587</v>
      </c>
      <c r="E149" s="5" t="s">
        <v>611</v>
      </c>
      <c r="F149" s="45" t="n">
        <v>171891.3</v>
      </c>
      <c r="G149" s="24" t="n">
        <v>151107</v>
      </c>
      <c r="H149" s="46" t="n">
        <v>6978679.04</v>
      </c>
      <c r="I149" s="6" t="s">
        <v>589</v>
      </c>
    </row>
    <row r="150" customFormat="false" ht="15" hidden="false" customHeight="false" outlineLevel="0" collapsed="false">
      <c r="A150" s="5" t="s">
        <v>568</v>
      </c>
      <c r="B150" s="5" t="s">
        <v>278</v>
      </c>
      <c r="C150" s="5" t="s">
        <v>586</v>
      </c>
      <c r="D150" s="5" t="s">
        <v>587</v>
      </c>
      <c r="E150" s="5" t="s">
        <v>611</v>
      </c>
      <c r="F150" s="45" t="n">
        <v>149208.6</v>
      </c>
      <c r="G150" s="24" t="n">
        <v>126436</v>
      </c>
      <c r="H150" s="46" t="n">
        <v>8566843.59</v>
      </c>
      <c r="I150" s="6" t="s">
        <v>590</v>
      </c>
    </row>
    <row r="151" customFormat="false" ht="15" hidden="false" customHeight="false" outlineLevel="0" collapsed="false">
      <c r="A151" s="5" t="s">
        <v>568</v>
      </c>
      <c r="B151" s="5" t="s">
        <v>291</v>
      </c>
      <c r="C151" s="5" t="s">
        <v>586</v>
      </c>
      <c r="D151" s="5" t="s">
        <v>587</v>
      </c>
      <c r="E151" s="5" t="s">
        <v>611</v>
      </c>
      <c r="F151" s="45" t="n">
        <v>124514</v>
      </c>
      <c r="G151" s="24" t="n">
        <v>102724</v>
      </c>
      <c r="H151" s="46" t="n">
        <v>11207533.79</v>
      </c>
      <c r="I151" s="6" t="s">
        <v>591</v>
      </c>
    </row>
    <row r="152" customFormat="false" ht="15" hidden="false" customHeight="false" outlineLevel="0" collapsed="false">
      <c r="A152" s="5" t="s">
        <v>568</v>
      </c>
      <c r="B152" s="5" t="s">
        <v>304</v>
      </c>
      <c r="C152" s="5" t="s">
        <v>586</v>
      </c>
      <c r="D152" s="5" t="s">
        <v>587</v>
      </c>
      <c r="E152" s="5" t="s">
        <v>611</v>
      </c>
      <c r="F152" s="45" t="n">
        <v>109172.8</v>
      </c>
      <c r="G152" s="24" t="n">
        <v>96453</v>
      </c>
      <c r="H152" s="46" t="n">
        <v>10339125.16</v>
      </c>
      <c r="I152" s="6" t="s">
        <v>592</v>
      </c>
    </row>
    <row r="153" customFormat="false" ht="15" hidden="false" customHeight="false" outlineLevel="0" collapsed="false">
      <c r="A153" s="5" t="s">
        <v>568</v>
      </c>
      <c r="B153" s="5" t="s">
        <v>317</v>
      </c>
      <c r="C153" s="5" t="s">
        <v>586</v>
      </c>
      <c r="D153" s="5" t="s">
        <v>587</v>
      </c>
      <c r="E153" s="5" t="s">
        <v>611</v>
      </c>
      <c r="F153" s="45" t="n">
        <v>116275</v>
      </c>
      <c r="G153" s="24" t="n">
        <v>97676</v>
      </c>
      <c r="H153" s="46" t="n">
        <v>11066315.83</v>
      </c>
      <c r="I153" s="6" t="s">
        <v>593</v>
      </c>
    </row>
    <row r="154" customFormat="false" ht="15" hidden="false" customHeight="false" outlineLevel="0" collapsed="false">
      <c r="A154" s="5" t="s">
        <v>568</v>
      </c>
      <c r="B154" s="5" t="s">
        <v>330</v>
      </c>
      <c r="C154" s="5" t="s">
        <v>586</v>
      </c>
      <c r="D154" s="5" t="s">
        <v>587</v>
      </c>
      <c r="E154" s="5" t="s">
        <v>611</v>
      </c>
      <c r="F154" s="45" t="n">
        <v>122518.7</v>
      </c>
      <c r="G154" s="24" t="n">
        <v>98288</v>
      </c>
      <c r="H154" s="46" t="n">
        <v>8246421.25</v>
      </c>
      <c r="I154" s="6" t="s">
        <v>594</v>
      </c>
    </row>
    <row r="155" customFormat="false" ht="15" hidden="false" customHeight="false" outlineLevel="0" collapsed="false">
      <c r="A155" s="5" t="s">
        <v>568</v>
      </c>
      <c r="B155" s="5" t="s">
        <v>343</v>
      </c>
      <c r="C155" s="5" t="s">
        <v>586</v>
      </c>
      <c r="D155" s="5" t="s">
        <v>587</v>
      </c>
      <c r="E155" s="5" t="s">
        <v>611</v>
      </c>
      <c r="F155" s="45" t="n">
        <v>103204.3</v>
      </c>
      <c r="G155" s="24" t="n">
        <v>82556</v>
      </c>
      <c r="H155" s="46" t="n">
        <v>5473547.48</v>
      </c>
      <c r="I155" s="6" t="s">
        <v>595</v>
      </c>
    </row>
    <row r="156" customFormat="false" ht="15" hidden="false" customHeight="false" outlineLevel="0" collapsed="false">
      <c r="A156" s="5" t="s">
        <v>568</v>
      </c>
      <c r="B156" s="5" t="s">
        <v>356</v>
      </c>
      <c r="C156" s="5" t="s">
        <v>586</v>
      </c>
      <c r="D156" s="5" t="s">
        <v>587</v>
      </c>
      <c r="E156" s="5" t="s">
        <v>611</v>
      </c>
      <c r="F156" s="45" t="n">
        <v>107847.2</v>
      </c>
      <c r="G156" s="24" t="n">
        <v>84844</v>
      </c>
      <c r="H156" s="46" t="n">
        <v>4703917.97</v>
      </c>
      <c r="I156" s="6" t="s">
        <v>596</v>
      </c>
    </row>
    <row r="157" customFormat="false" ht="15" hidden="false" customHeight="false" outlineLevel="0" collapsed="false">
      <c r="A157" s="5" t="s">
        <v>568</v>
      </c>
      <c r="B157" s="5" t="s">
        <v>369</v>
      </c>
      <c r="C157" s="5" t="s">
        <v>586</v>
      </c>
      <c r="D157" s="5" t="s">
        <v>587</v>
      </c>
      <c r="E157" s="5" t="s">
        <v>611</v>
      </c>
      <c r="F157" s="45" t="n">
        <v>18755.5</v>
      </c>
      <c r="G157" s="24" t="n">
        <v>15642</v>
      </c>
      <c r="H157" s="46" t="n">
        <v>686604.88</v>
      </c>
      <c r="I157" s="6" t="s">
        <v>597</v>
      </c>
    </row>
    <row r="158" customFormat="false" ht="15" hidden="false" customHeight="false" outlineLevel="0" collapsed="false">
      <c r="A158" s="5" t="s">
        <v>613</v>
      </c>
      <c r="B158" s="5" t="s">
        <v>265</v>
      </c>
      <c r="C158" s="5" t="s">
        <v>586</v>
      </c>
      <c r="D158" s="5" t="s">
        <v>587</v>
      </c>
      <c r="E158" s="5" t="s">
        <v>611</v>
      </c>
      <c r="F158" s="45" t="n">
        <v>106677.4</v>
      </c>
      <c r="G158" s="24" t="n">
        <v>90777</v>
      </c>
      <c r="H158" s="46" t="n">
        <v>4392511.83</v>
      </c>
      <c r="I158" s="6" t="s">
        <v>589</v>
      </c>
    </row>
    <row r="159" customFormat="false" ht="15" hidden="false" customHeight="false" outlineLevel="0" collapsed="false">
      <c r="A159" s="5" t="s">
        <v>613</v>
      </c>
      <c r="B159" s="5" t="s">
        <v>278</v>
      </c>
      <c r="C159" s="5" t="s">
        <v>586</v>
      </c>
      <c r="D159" s="5" t="s">
        <v>587</v>
      </c>
      <c r="E159" s="5" t="s">
        <v>611</v>
      </c>
      <c r="F159" s="45" t="n">
        <v>116180.9</v>
      </c>
      <c r="G159" s="24" t="n">
        <v>98044</v>
      </c>
      <c r="H159" s="46" t="n">
        <v>7364806.84</v>
      </c>
      <c r="I159" s="6" t="s">
        <v>590</v>
      </c>
    </row>
    <row r="160" customFormat="false" ht="15" hidden="false" customHeight="false" outlineLevel="0" collapsed="false">
      <c r="A160" s="5" t="s">
        <v>613</v>
      </c>
      <c r="B160" s="5" t="s">
        <v>291</v>
      </c>
      <c r="C160" s="5" t="s">
        <v>586</v>
      </c>
      <c r="D160" s="5" t="s">
        <v>587</v>
      </c>
      <c r="E160" s="5" t="s">
        <v>611</v>
      </c>
      <c r="F160" s="45" t="n">
        <v>86791.3</v>
      </c>
      <c r="G160" s="24" t="n">
        <v>74881</v>
      </c>
      <c r="H160" s="46" t="n">
        <v>5692942.49</v>
      </c>
      <c r="I160" s="6" t="s">
        <v>591</v>
      </c>
    </row>
    <row r="161" customFormat="false" ht="15" hidden="false" customHeight="false" outlineLevel="0" collapsed="false">
      <c r="A161" s="5" t="s">
        <v>613</v>
      </c>
      <c r="B161" s="5" t="s">
        <v>304</v>
      </c>
      <c r="C161" s="5" t="s">
        <v>586</v>
      </c>
      <c r="D161" s="5" t="s">
        <v>587</v>
      </c>
      <c r="E161" s="5" t="s">
        <v>611</v>
      </c>
      <c r="F161" s="45" t="n">
        <v>94246.8</v>
      </c>
      <c r="G161" s="24" t="n">
        <v>75429</v>
      </c>
      <c r="H161" s="46" t="n">
        <v>5734364.33</v>
      </c>
      <c r="I161" s="6" t="s">
        <v>592</v>
      </c>
    </row>
    <row r="162" customFormat="false" ht="15" hidden="false" customHeight="false" outlineLevel="0" collapsed="false">
      <c r="A162" s="5" t="s">
        <v>613</v>
      </c>
      <c r="B162" s="5" t="s">
        <v>317</v>
      </c>
      <c r="C162" s="5" t="s">
        <v>586</v>
      </c>
      <c r="D162" s="5" t="s">
        <v>587</v>
      </c>
      <c r="E162" s="5" t="s">
        <v>611</v>
      </c>
      <c r="F162" s="45" t="n">
        <v>113869.3</v>
      </c>
      <c r="G162" s="24" t="n">
        <v>93832</v>
      </c>
      <c r="H162" s="46" t="n">
        <v>6878310.08</v>
      </c>
      <c r="I162" s="6" t="s">
        <v>593</v>
      </c>
    </row>
    <row r="163" customFormat="false" ht="15" hidden="false" customHeight="false" outlineLevel="0" collapsed="false">
      <c r="A163" s="5" t="s">
        <v>613</v>
      </c>
      <c r="B163" s="5" t="s">
        <v>330</v>
      </c>
      <c r="C163" s="5" t="s">
        <v>586</v>
      </c>
      <c r="D163" s="5" t="s">
        <v>587</v>
      </c>
      <c r="E163" s="5" t="s">
        <v>611</v>
      </c>
      <c r="F163" s="45" t="n">
        <v>125687.6</v>
      </c>
      <c r="G163" s="24" t="n">
        <v>106601</v>
      </c>
      <c r="H163" s="46" t="n">
        <v>12317824.89</v>
      </c>
      <c r="I163" s="6" t="s">
        <v>594</v>
      </c>
    </row>
    <row r="164" customFormat="false" ht="15" hidden="false" customHeight="false" outlineLevel="0" collapsed="false">
      <c r="A164" s="5" t="s">
        <v>613</v>
      </c>
      <c r="B164" s="5" t="s">
        <v>343</v>
      </c>
      <c r="C164" s="5" t="s">
        <v>586</v>
      </c>
      <c r="D164" s="5" t="s">
        <v>587</v>
      </c>
      <c r="E164" s="5" t="s">
        <v>611</v>
      </c>
      <c r="F164" s="45" t="n">
        <v>116373.6</v>
      </c>
      <c r="G164" s="24" t="n">
        <v>84745</v>
      </c>
      <c r="H164" s="46" t="n">
        <v>4941871.19</v>
      </c>
      <c r="I164" s="6" t="s">
        <v>595</v>
      </c>
    </row>
    <row r="165" customFormat="false" ht="15" hidden="false" customHeight="false" outlineLevel="0" collapsed="false">
      <c r="A165" s="5" t="s">
        <v>613</v>
      </c>
      <c r="B165" s="5" t="s">
        <v>356</v>
      </c>
      <c r="C165" s="5" t="s">
        <v>586</v>
      </c>
      <c r="D165" s="5" t="s">
        <v>587</v>
      </c>
      <c r="E165" s="5" t="s">
        <v>611</v>
      </c>
      <c r="F165" s="45" t="n">
        <v>98717.1</v>
      </c>
      <c r="G165" s="24" t="n">
        <v>84618</v>
      </c>
      <c r="H165" s="46" t="n">
        <v>3611346.63</v>
      </c>
      <c r="I165" s="6" t="s">
        <v>596</v>
      </c>
    </row>
    <row r="166" customFormat="false" ht="15" hidden="false" customHeight="false" outlineLevel="0" collapsed="false">
      <c r="A166" s="5" t="s">
        <v>613</v>
      </c>
      <c r="B166" s="5" t="s">
        <v>369</v>
      </c>
      <c r="C166" s="5" t="s">
        <v>586</v>
      </c>
      <c r="D166" s="5" t="s">
        <v>587</v>
      </c>
      <c r="E166" s="5" t="s">
        <v>611</v>
      </c>
      <c r="F166" s="45" t="n">
        <v>17677.7</v>
      </c>
      <c r="G166" s="24" t="n">
        <v>15568</v>
      </c>
      <c r="H166" s="46" t="n">
        <v>657691.09</v>
      </c>
      <c r="I166" s="6" t="s">
        <v>597</v>
      </c>
    </row>
    <row r="167" customFormat="false" ht="15" hidden="false" customHeight="false" outlineLevel="0" collapsed="false">
      <c r="A167" s="5" t="s">
        <v>614</v>
      </c>
      <c r="B167" s="5" t="s">
        <v>265</v>
      </c>
      <c r="C167" s="5" t="s">
        <v>586</v>
      </c>
      <c r="D167" s="5" t="s">
        <v>587</v>
      </c>
      <c r="E167" s="5" t="s">
        <v>611</v>
      </c>
      <c r="F167" s="45" t="n">
        <v>18747.9</v>
      </c>
      <c r="G167" s="24" t="n">
        <v>16297</v>
      </c>
      <c r="H167" s="46" t="n">
        <v>885018.76</v>
      </c>
      <c r="I167" s="6" t="s">
        <v>589</v>
      </c>
    </row>
    <row r="168" customFormat="false" ht="15" hidden="false" customHeight="false" outlineLevel="0" collapsed="false">
      <c r="A168" s="5" t="s">
        <v>614</v>
      </c>
      <c r="B168" s="5" t="s">
        <v>278</v>
      </c>
      <c r="C168" s="5" t="s">
        <v>586</v>
      </c>
      <c r="D168" s="5" t="s">
        <v>587</v>
      </c>
      <c r="E168" s="5" t="s">
        <v>611</v>
      </c>
      <c r="F168" s="45" t="n">
        <v>17160.5</v>
      </c>
      <c r="G168" s="24" t="n">
        <v>14541</v>
      </c>
      <c r="H168" s="46" t="n">
        <v>3489784.11</v>
      </c>
      <c r="I168" s="6" t="s">
        <v>590</v>
      </c>
    </row>
    <row r="169" customFormat="false" ht="15" hidden="false" customHeight="false" outlineLevel="0" collapsed="false">
      <c r="A169" s="5" t="s">
        <v>614</v>
      </c>
      <c r="B169" s="5" t="s">
        <v>291</v>
      </c>
      <c r="C169" s="5" t="s">
        <v>586</v>
      </c>
      <c r="D169" s="5" t="s">
        <v>587</v>
      </c>
      <c r="E169" s="5" t="s">
        <v>611</v>
      </c>
      <c r="F169" s="45" t="n">
        <v>15059.8</v>
      </c>
      <c r="G169" s="24" t="n">
        <v>10395</v>
      </c>
      <c r="H169" s="46" t="n">
        <v>1195279.12</v>
      </c>
      <c r="I169" s="6" t="s">
        <v>591</v>
      </c>
    </row>
    <row r="170" customFormat="false" ht="15" hidden="false" customHeight="false" outlineLevel="0" collapsed="false">
      <c r="A170" s="5" t="s">
        <v>614</v>
      </c>
      <c r="B170" s="5" t="s">
        <v>304</v>
      </c>
      <c r="C170" s="5" t="s">
        <v>586</v>
      </c>
      <c r="D170" s="5" t="s">
        <v>587</v>
      </c>
      <c r="E170" s="5" t="s">
        <v>611</v>
      </c>
      <c r="F170" s="45" t="n">
        <v>14722.9</v>
      </c>
      <c r="G170" s="24" t="n">
        <v>12512</v>
      </c>
      <c r="H170" s="46" t="n">
        <v>1361899.3</v>
      </c>
      <c r="I170" s="6" t="s">
        <v>592</v>
      </c>
    </row>
    <row r="171" customFormat="false" ht="15" hidden="false" customHeight="false" outlineLevel="0" collapsed="false">
      <c r="A171" s="5" t="s">
        <v>614</v>
      </c>
      <c r="B171" s="5" t="s">
        <v>317</v>
      </c>
      <c r="C171" s="5" t="s">
        <v>586</v>
      </c>
      <c r="D171" s="5" t="s">
        <v>587</v>
      </c>
      <c r="E171" s="5" t="s">
        <v>611</v>
      </c>
      <c r="F171" s="45" t="n">
        <v>18224.1</v>
      </c>
      <c r="G171" s="24" t="n">
        <v>15366</v>
      </c>
      <c r="H171" s="46" t="n">
        <v>1470717.54</v>
      </c>
      <c r="I171" s="6" t="s">
        <v>593</v>
      </c>
    </row>
    <row r="172" customFormat="false" ht="15" hidden="false" customHeight="false" outlineLevel="0" collapsed="false">
      <c r="A172" s="5" t="s">
        <v>614</v>
      </c>
      <c r="B172" s="5" t="s">
        <v>330</v>
      </c>
      <c r="C172" s="5" t="s">
        <v>586</v>
      </c>
      <c r="D172" s="5" t="s">
        <v>587</v>
      </c>
      <c r="E172" s="5" t="s">
        <v>611</v>
      </c>
      <c r="F172" s="45" t="n">
        <v>13334.2</v>
      </c>
      <c r="G172" s="24" t="n">
        <v>10508</v>
      </c>
      <c r="H172" s="46" t="n">
        <v>992473.1</v>
      </c>
      <c r="I172" s="6" t="s">
        <v>594</v>
      </c>
    </row>
    <row r="173" customFormat="false" ht="15" hidden="false" customHeight="false" outlineLevel="0" collapsed="false">
      <c r="A173" s="5" t="s">
        <v>614</v>
      </c>
      <c r="B173" s="5" t="s">
        <v>343</v>
      </c>
      <c r="C173" s="5" t="s">
        <v>586</v>
      </c>
      <c r="D173" s="5" t="s">
        <v>587</v>
      </c>
      <c r="E173" s="5" t="s">
        <v>611</v>
      </c>
      <c r="F173" s="45" t="n">
        <v>11465</v>
      </c>
      <c r="G173" s="24" t="n">
        <v>8640</v>
      </c>
      <c r="H173" s="46" t="n">
        <v>753265.92</v>
      </c>
      <c r="I173" s="6" t="s">
        <v>595</v>
      </c>
    </row>
    <row r="174" customFormat="false" ht="15" hidden="false" customHeight="false" outlineLevel="0" collapsed="false">
      <c r="A174" s="5" t="s">
        <v>614</v>
      </c>
      <c r="B174" s="5" t="s">
        <v>356</v>
      </c>
      <c r="C174" s="5" t="s">
        <v>586</v>
      </c>
      <c r="D174" s="5" t="s">
        <v>587</v>
      </c>
      <c r="E174" s="5" t="s">
        <v>611</v>
      </c>
      <c r="F174" s="45" t="n">
        <v>9315.8</v>
      </c>
      <c r="G174" s="24" t="n">
        <v>9308</v>
      </c>
      <c r="H174" s="46" t="n">
        <v>777073.47</v>
      </c>
      <c r="I174" s="6" t="s">
        <v>596</v>
      </c>
    </row>
    <row r="175" customFormat="false" ht="15" hidden="false" customHeight="false" outlineLevel="0" collapsed="false">
      <c r="A175" s="5" t="s">
        <v>614</v>
      </c>
      <c r="B175" s="5" t="s">
        <v>369</v>
      </c>
      <c r="C175" s="5" t="s">
        <v>586</v>
      </c>
      <c r="D175" s="5" t="s">
        <v>587</v>
      </c>
      <c r="E175" s="5" t="s">
        <v>611</v>
      </c>
      <c r="F175" s="45" t="n">
        <v>2120.9</v>
      </c>
      <c r="G175" s="24" t="n">
        <v>1821</v>
      </c>
      <c r="H175" s="46" t="n">
        <v>265249.11</v>
      </c>
      <c r="I175" s="6" t="s">
        <v>597</v>
      </c>
    </row>
    <row r="176" customFormat="false" ht="15" hidden="false" customHeight="false" outlineLevel="0" collapsed="false">
      <c r="A176" s="5" t="s">
        <v>615</v>
      </c>
      <c r="B176" s="5" t="s">
        <v>265</v>
      </c>
      <c r="C176" s="5" t="s">
        <v>586</v>
      </c>
      <c r="D176" s="5" t="s">
        <v>587</v>
      </c>
      <c r="E176" s="5" t="s">
        <v>611</v>
      </c>
      <c r="F176" s="45" t="n">
        <v>13994.9</v>
      </c>
      <c r="G176" s="24" t="n">
        <v>12471</v>
      </c>
      <c r="H176" s="46" t="n">
        <v>741195.05</v>
      </c>
      <c r="I176" s="6" t="s">
        <v>589</v>
      </c>
    </row>
    <row r="177" customFormat="false" ht="15" hidden="false" customHeight="false" outlineLevel="0" collapsed="false">
      <c r="A177" s="5" t="s">
        <v>615</v>
      </c>
      <c r="B177" s="5" t="s">
        <v>278</v>
      </c>
      <c r="C177" s="5" t="s">
        <v>586</v>
      </c>
      <c r="D177" s="5" t="s">
        <v>587</v>
      </c>
      <c r="E177" s="5" t="s">
        <v>611</v>
      </c>
      <c r="F177" s="45" t="n">
        <v>15971.1</v>
      </c>
      <c r="G177" s="24" t="n">
        <v>14350</v>
      </c>
      <c r="H177" s="46" t="n">
        <v>1614722.8</v>
      </c>
      <c r="I177" s="6" t="s">
        <v>590</v>
      </c>
    </row>
    <row r="178" customFormat="false" ht="15" hidden="false" customHeight="false" outlineLevel="0" collapsed="false">
      <c r="A178" s="5" t="s">
        <v>615</v>
      </c>
      <c r="B178" s="5" t="s">
        <v>291</v>
      </c>
      <c r="C178" s="5" t="s">
        <v>586</v>
      </c>
      <c r="D178" s="5" t="s">
        <v>587</v>
      </c>
      <c r="E178" s="5" t="s">
        <v>611</v>
      </c>
      <c r="F178" s="45" t="n">
        <v>12461.7</v>
      </c>
      <c r="G178" s="24" t="n">
        <v>11135</v>
      </c>
      <c r="H178" s="46" t="n">
        <v>1964725.47</v>
      </c>
      <c r="I178" s="6" t="s">
        <v>591</v>
      </c>
    </row>
    <row r="179" customFormat="false" ht="15" hidden="false" customHeight="false" outlineLevel="0" collapsed="false">
      <c r="A179" s="5" t="s">
        <v>615</v>
      </c>
      <c r="B179" s="5" t="s">
        <v>304</v>
      </c>
      <c r="C179" s="5" t="s">
        <v>586</v>
      </c>
      <c r="D179" s="5" t="s">
        <v>587</v>
      </c>
      <c r="E179" s="5" t="s">
        <v>611</v>
      </c>
      <c r="F179" s="45" t="n">
        <v>13798.5</v>
      </c>
      <c r="G179" s="24" t="n">
        <v>12585</v>
      </c>
      <c r="H179" s="46" t="n">
        <v>2000709.49</v>
      </c>
      <c r="I179" s="6" t="s">
        <v>592</v>
      </c>
    </row>
    <row r="180" customFormat="false" ht="15" hidden="false" customHeight="false" outlineLevel="0" collapsed="false">
      <c r="A180" s="5" t="s">
        <v>615</v>
      </c>
      <c r="B180" s="5" t="s">
        <v>317</v>
      </c>
      <c r="C180" s="5" t="s">
        <v>586</v>
      </c>
      <c r="D180" s="5" t="s">
        <v>587</v>
      </c>
      <c r="E180" s="5" t="s">
        <v>611</v>
      </c>
      <c r="F180" s="45" t="n">
        <v>16504.2</v>
      </c>
      <c r="G180" s="24" t="n">
        <v>15106</v>
      </c>
      <c r="H180" s="46" t="n">
        <v>3269179.64</v>
      </c>
      <c r="I180" s="6" t="s">
        <v>593</v>
      </c>
    </row>
    <row r="181" customFormat="false" ht="15" hidden="false" customHeight="false" outlineLevel="0" collapsed="false">
      <c r="A181" s="5" t="s">
        <v>615</v>
      </c>
      <c r="B181" s="5" t="s">
        <v>330</v>
      </c>
      <c r="C181" s="5" t="s">
        <v>586</v>
      </c>
      <c r="D181" s="5" t="s">
        <v>587</v>
      </c>
      <c r="E181" s="5" t="s">
        <v>611</v>
      </c>
      <c r="F181" s="45" t="n">
        <v>5564.9</v>
      </c>
      <c r="G181" s="24" t="n">
        <v>4663</v>
      </c>
      <c r="H181" s="46" t="n">
        <v>904917.83</v>
      </c>
      <c r="I181" s="6" t="s">
        <v>594</v>
      </c>
    </row>
    <row r="182" customFormat="false" ht="15" hidden="false" customHeight="false" outlineLevel="0" collapsed="false">
      <c r="A182" s="5" t="s">
        <v>615</v>
      </c>
      <c r="B182" s="5" t="s">
        <v>343</v>
      </c>
      <c r="C182" s="5" t="s">
        <v>586</v>
      </c>
      <c r="D182" s="5" t="s">
        <v>587</v>
      </c>
      <c r="E182" s="5" t="s">
        <v>611</v>
      </c>
      <c r="F182" s="45" t="n">
        <v>7418.6</v>
      </c>
      <c r="G182" s="24" t="n">
        <v>3995</v>
      </c>
      <c r="H182" s="46" t="n">
        <v>137467.85</v>
      </c>
      <c r="I182" s="6" t="s">
        <v>595</v>
      </c>
    </row>
    <row r="183" customFormat="false" ht="15" hidden="false" customHeight="false" outlineLevel="0" collapsed="false">
      <c r="A183" s="5" t="s">
        <v>615</v>
      </c>
      <c r="B183" s="5" t="s">
        <v>356</v>
      </c>
      <c r="C183" s="5" t="s">
        <v>586</v>
      </c>
      <c r="D183" s="5" t="s">
        <v>587</v>
      </c>
      <c r="E183" s="5" t="s">
        <v>611</v>
      </c>
      <c r="F183" s="45" t="n">
        <v>16720.8</v>
      </c>
      <c r="G183" s="24" t="n">
        <v>7935</v>
      </c>
      <c r="H183" s="46" t="n">
        <v>443514.99</v>
      </c>
      <c r="I183" s="6" t="s">
        <v>596</v>
      </c>
    </row>
    <row r="184" customFormat="false" ht="15" hidden="false" customHeight="false" outlineLevel="0" collapsed="false">
      <c r="A184" s="5" t="s">
        <v>615</v>
      </c>
      <c r="B184" s="5" t="s">
        <v>369</v>
      </c>
      <c r="C184" s="5" t="s">
        <v>586</v>
      </c>
      <c r="D184" s="5" t="s">
        <v>587</v>
      </c>
      <c r="E184" s="5" t="s">
        <v>611</v>
      </c>
      <c r="F184" s="45" t="n">
        <v>2662.5</v>
      </c>
      <c r="G184" s="24" t="n">
        <v>1585</v>
      </c>
      <c r="H184" s="46" t="n">
        <v>60476.12</v>
      </c>
      <c r="I184" s="6" t="s">
        <v>597</v>
      </c>
    </row>
    <row r="185" customFormat="false" ht="15" hidden="false" customHeight="false" outlineLevel="0" collapsed="false">
      <c r="A185" s="5" t="s">
        <v>616</v>
      </c>
      <c r="B185" s="5" t="s">
        <v>265</v>
      </c>
      <c r="C185" s="5" t="s">
        <v>586</v>
      </c>
      <c r="D185" s="5" t="s">
        <v>587</v>
      </c>
      <c r="E185" s="5" t="s">
        <v>607</v>
      </c>
      <c r="F185" s="45" t="n">
        <v>142.1</v>
      </c>
      <c r="G185" s="24" t="n">
        <v>95</v>
      </c>
      <c r="H185" s="46" t="n">
        <v>1225.54</v>
      </c>
      <c r="I185" s="6" t="s">
        <v>589</v>
      </c>
    </row>
    <row r="186" customFormat="false" ht="15" hidden="false" customHeight="false" outlineLevel="0" collapsed="false">
      <c r="A186" s="5" t="s">
        <v>616</v>
      </c>
      <c r="B186" s="5" t="s">
        <v>278</v>
      </c>
      <c r="C186" s="5" t="s">
        <v>586</v>
      </c>
      <c r="D186" s="5" t="s">
        <v>587</v>
      </c>
      <c r="E186" s="5" t="s">
        <v>607</v>
      </c>
      <c r="F186" s="45" t="n">
        <v>375.9</v>
      </c>
      <c r="G186" s="24" t="n">
        <v>258</v>
      </c>
      <c r="H186" s="46" t="n">
        <v>1830.26</v>
      </c>
      <c r="I186" s="6" t="s">
        <v>590</v>
      </c>
    </row>
    <row r="187" customFormat="false" ht="15" hidden="false" customHeight="false" outlineLevel="0" collapsed="false">
      <c r="A187" s="5" t="s">
        <v>616</v>
      </c>
      <c r="B187" s="5" t="s">
        <v>291</v>
      </c>
      <c r="C187" s="5" t="s">
        <v>586</v>
      </c>
      <c r="D187" s="5" t="s">
        <v>587</v>
      </c>
      <c r="E187" s="5" t="s">
        <v>607</v>
      </c>
      <c r="F187" s="45" t="n">
        <v>74</v>
      </c>
      <c r="G187" s="24" t="n">
        <v>53</v>
      </c>
      <c r="H187" s="46" t="n">
        <v>372.47</v>
      </c>
      <c r="I187" s="6" t="s">
        <v>591</v>
      </c>
    </row>
    <row r="188" customFormat="false" ht="15" hidden="false" customHeight="false" outlineLevel="0" collapsed="false">
      <c r="A188" s="5" t="s">
        <v>616</v>
      </c>
      <c r="B188" s="5" t="s">
        <v>317</v>
      </c>
      <c r="C188" s="5" t="s">
        <v>586</v>
      </c>
      <c r="D188" s="5" t="s">
        <v>587</v>
      </c>
      <c r="E188" s="5" t="s">
        <v>607</v>
      </c>
      <c r="F188" s="45" t="n">
        <v>35</v>
      </c>
      <c r="G188" s="24" t="n">
        <v>16</v>
      </c>
      <c r="H188" s="46" t="n">
        <v>0</v>
      </c>
      <c r="I188" s="6" t="s">
        <v>593</v>
      </c>
    </row>
    <row r="189" customFormat="false" ht="15" hidden="false" customHeight="false" outlineLevel="0" collapsed="false">
      <c r="A189" s="5" t="s">
        <v>616</v>
      </c>
      <c r="B189" s="5" t="s">
        <v>330</v>
      </c>
      <c r="C189" s="5" t="s">
        <v>586</v>
      </c>
      <c r="D189" s="5" t="s">
        <v>587</v>
      </c>
      <c r="E189" s="5" t="s">
        <v>607</v>
      </c>
      <c r="F189" s="45" t="n">
        <v>79</v>
      </c>
      <c r="G189" s="24" t="n">
        <v>41</v>
      </c>
      <c r="H189" s="46" t="n">
        <v>0</v>
      </c>
      <c r="I189" s="6" t="s">
        <v>594</v>
      </c>
    </row>
    <row r="190" customFormat="false" ht="15" hidden="false" customHeight="false" outlineLevel="0" collapsed="false">
      <c r="A190" s="5" t="s">
        <v>617</v>
      </c>
      <c r="B190" s="5" t="s">
        <v>265</v>
      </c>
      <c r="C190" s="5" t="s">
        <v>586</v>
      </c>
      <c r="D190" s="5" t="s">
        <v>587</v>
      </c>
      <c r="E190" s="5" t="s">
        <v>611</v>
      </c>
      <c r="F190" s="45" t="n">
        <v>142.3</v>
      </c>
      <c r="G190" s="24" t="n">
        <v>97</v>
      </c>
      <c r="H190" s="46" t="n">
        <v>118425.49</v>
      </c>
      <c r="I190" s="6" t="s">
        <v>589</v>
      </c>
    </row>
    <row r="191" customFormat="false" ht="15" hidden="false" customHeight="false" outlineLevel="0" collapsed="false">
      <c r="A191" s="5" t="s">
        <v>617</v>
      </c>
      <c r="B191" s="5" t="s">
        <v>278</v>
      </c>
      <c r="C191" s="5" t="s">
        <v>586</v>
      </c>
      <c r="D191" s="5" t="s">
        <v>587</v>
      </c>
      <c r="E191" s="5" t="s">
        <v>611</v>
      </c>
      <c r="F191" s="45" t="n">
        <v>7</v>
      </c>
      <c r="G191" s="24" t="n">
        <v>35</v>
      </c>
      <c r="H191" s="46" t="n">
        <v>357.01</v>
      </c>
      <c r="I191" s="6" t="s">
        <v>590</v>
      </c>
    </row>
    <row r="192" customFormat="false" ht="15" hidden="false" customHeight="false" outlineLevel="0" collapsed="false">
      <c r="A192" s="5" t="s">
        <v>617</v>
      </c>
      <c r="B192" s="5" t="s">
        <v>291</v>
      </c>
      <c r="C192" s="5" t="s">
        <v>586</v>
      </c>
      <c r="D192" s="5" t="s">
        <v>587</v>
      </c>
      <c r="E192" s="5" t="s">
        <v>611</v>
      </c>
      <c r="F192" s="45" t="n">
        <v>14</v>
      </c>
      <c r="G192" s="24" t="n">
        <v>25</v>
      </c>
      <c r="H192" s="46" t="n">
        <v>92.83</v>
      </c>
      <c r="I192" s="6" t="s">
        <v>591</v>
      </c>
    </row>
    <row r="193" customFormat="false" ht="15" hidden="false" customHeight="false" outlineLevel="0" collapsed="false">
      <c r="A193" s="5" t="s">
        <v>618</v>
      </c>
      <c r="B193" s="5" t="s">
        <v>265</v>
      </c>
      <c r="C193" s="5" t="s">
        <v>586</v>
      </c>
      <c r="D193" s="5" t="s">
        <v>587</v>
      </c>
      <c r="E193" s="5" t="s">
        <v>611</v>
      </c>
      <c r="F193" s="45" t="n">
        <v>311.3</v>
      </c>
      <c r="G193" s="24" t="n">
        <v>227</v>
      </c>
      <c r="H193" s="46" t="n">
        <v>67681.03</v>
      </c>
      <c r="I193" s="6" t="s">
        <v>589</v>
      </c>
    </row>
    <row r="194" customFormat="false" ht="15" hidden="false" customHeight="false" outlineLevel="0" collapsed="false">
      <c r="A194" s="5" t="s">
        <v>618</v>
      </c>
      <c r="B194" s="5" t="s">
        <v>278</v>
      </c>
      <c r="C194" s="5" t="s">
        <v>586</v>
      </c>
      <c r="D194" s="5" t="s">
        <v>587</v>
      </c>
      <c r="E194" s="5" t="s">
        <v>611</v>
      </c>
      <c r="F194" s="45" t="n">
        <v>149.6</v>
      </c>
      <c r="G194" s="24" t="n">
        <v>41</v>
      </c>
      <c r="H194" s="46" t="n">
        <v>246.69</v>
      </c>
      <c r="I194" s="6" t="s">
        <v>590</v>
      </c>
    </row>
    <row r="195" customFormat="false" ht="15" hidden="false" customHeight="false" outlineLevel="0" collapsed="false">
      <c r="A195" s="5" t="s">
        <v>618</v>
      </c>
      <c r="B195" s="5" t="s">
        <v>304</v>
      </c>
      <c r="C195" s="5" t="s">
        <v>586</v>
      </c>
      <c r="D195" s="5" t="s">
        <v>587</v>
      </c>
      <c r="E195" s="5" t="s">
        <v>611</v>
      </c>
      <c r="F195" s="45" t="n">
        <v>13</v>
      </c>
      <c r="G195" s="24" t="n">
        <v>13</v>
      </c>
      <c r="H195" s="46" t="n">
        <v>97.5</v>
      </c>
      <c r="I195" s="6" t="s">
        <v>592</v>
      </c>
    </row>
    <row r="196" customFormat="false" ht="15" hidden="false" customHeight="false" outlineLevel="0" collapsed="false">
      <c r="A196" s="5" t="s">
        <v>618</v>
      </c>
      <c r="B196" s="5" t="s">
        <v>330</v>
      </c>
      <c r="C196" s="5" t="s">
        <v>586</v>
      </c>
      <c r="D196" s="5" t="s">
        <v>587</v>
      </c>
      <c r="E196" s="5" t="s">
        <v>611</v>
      </c>
      <c r="F196" s="45" t="n">
        <v>93</v>
      </c>
      <c r="G196" s="24" t="n">
        <v>76</v>
      </c>
      <c r="H196" s="46" t="n">
        <v>0</v>
      </c>
      <c r="I196" s="6" t="s">
        <v>594</v>
      </c>
    </row>
    <row r="197" customFormat="false" ht="15" hidden="false" customHeight="false" outlineLevel="0" collapsed="false">
      <c r="A197" s="5" t="s">
        <v>618</v>
      </c>
      <c r="B197" s="5" t="s">
        <v>343</v>
      </c>
      <c r="C197" s="5" t="s">
        <v>586</v>
      </c>
      <c r="D197" s="5" t="s">
        <v>587</v>
      </c>
      <c r="E197" s="5" t="s">
        <v>611</v>
      </c>
      <c r="F197" s="45" t="n">
        <v>19</v>
      </c>
      <c r="G197" s="24" t="n">
        <v>19</v>
      </c>
      <c r="H197" s="46" t="n">
        <v>0</v>
      </c>
      <c r="I197" s="6" t="s">
        <v>595</v>
      </c>
    </row>
    <row r="198" customFormat="false" ht="15" hidden="false" customHeight="false" outlineLevel="0" collapsed="false">
      <c r="A198" s="5" t="s">
        <v>619</v>
      </c>
      <c r="B198" s="5" t="s">
        <v>265</v>
      </c>
      <c r="C198" s="5" t="s">
        <v>586</v>
      </c>
      <c r="D198" s="5" t="s">
        <v>620</v>
      </c>
      <c r="E198" s="5" t="s">
        <v>621</v>
      </c>
      <c r="F198" s="45" t="n">
        <v>35603.8</v>
      </c>
      <c r="G198" s="24" t="n">
        <v>21756</v>
      </c>
      <c r="H198" s="46" t="n">
        <v>416315.06</v>
      </c>
      <c r="I198" s="6" t="s">
        <v>589</v>
      </c>
    </row>
    <row r="199" customFormat="false" ht="15" hidden="false" customHeight="false" outlineLevel="0" collapsed="false">
      <c r="A199" s="5" t="s">
        <v>619</v>
      </c>
      <c r="B199" s="5" t="s">
        <v>278</v>
      </c>
      <c r="C199" s="5" t="s">
        <v>586</v>
      </c>
      <c r="D199" s="5" t="s">
        <v>620</v>
      </c>
      <c r="E199" s="5" t="s">
        <v>621</v>
      </c>
      <c r="F199" s="45" t="n">
        <v>31327.7</v>
      </c>
      <c r="G199" s="24" t="n">
        <v>16858</v>
      </c>
      <c r="H199" s="46" t="n">
        <v>223810.94</v>
      </c>
      <c r="I199" s="6" t="s">
        <v>590</v>
      </c>
    </row>
    <row r="200" customFormat="false" ht="15" hidden="false" customHeight="false" outlineLevel="0" collapsed="false">
      <c r="A200" s="5" t="s">
        <v>619</v>
      </c>
      <c r="B200" s="5" t="s">
        <v>291</v>
      </c>
      <c r="C200" s="5" t="s">
        <v>586</v>
      </c>
      <c r="D200" s="5" t="s">
        <v>620</v>
      </c>
      <c r="E200" s="5" t="s">
        <v>621</v>
      </c>
      <c r="F200" s="45" t="n">
        <v>22385.3</v>
      </c>
      <c r="G200" s="24" t="n">
        <v>13420</v>
      </c>
      <c r="H200" s="46" t="n">
        <v>95341.47</v>
      </c>
      <c r="I200" s="6" t="s">
        <v>591</v>
      </c>
    </row>
    <row r="201" customFormat="false" ht="15" hidden="false" customHeight="false" outlineLevel="0" collapsed="false">
      <c r="A201" s="5" t="s">
        <v>619</v>
      </c>
      <c r="B201" s="5" t="s">
        <v>304</v>
      </c>
      <c r="C201" s="5" t="s">
        <v>586</v>
      </c>
      <c r="D201" s="5" t="s">
        <v>620</v>
      </c>
      <c r="E201" s="5" t="s">
        <v>621</v>
      </c>
      <c r="F201" s="45" t="n">
        <v>23478.8</v>
      </c>
      <c r="G201" s="24" t="n">
        <v>14642</v>
      </c>
      <c r="H201" s="46" t="n">
        <v>105856.31</v>
      </c>
      <c r="I201" s="6" t="s">
        <v>592</v>
      </c>
    </row>
    <row r="202" customFormat="false" ht="15" hidden="false" customHeight="false" outlineLevel="0" collapsed="false">
      <c r="A202" s="5" t="s">
        <v>619</v>
      </c>
      <c r="B202" s="5" t="s">
        <v>317</v>
      </c>
      <c r="C202" s="5" t="s">
        <v>586</v>
      </c>
      <c r="D202" s="5" t="s">
        <v>620</v>
      </c>
      <c r="E202" s="5" t="s">
        <v>621</v>
      </c>
      <c r="F202" s="45" t="n">
        <v>20396.2</v>
      </c>
      <c r="G202" s="24" t="n">
        <v>13316</v>
      </c>
      <c r="H202" s="46" t="n">
        <v>113798.24</v>
      </c>
      <c r="I202" s="6" t="s">
        <v>593</v>
      </c>
    </row>
    <row r="203" customFormat="false" ht="15" hidden="false" customHeight="false" outlineLevel="0" collapsed="false">
      <c r="A203" s="5" t="s">
        <v>619</v>
      </c>
      <c r="B203" s="5" t="s">
        <v>330</v>
      </c>
      <c r="C203" s="5" t="s">
        <v>586</v>
      </c>
      <c r="D203" s="5" t="s">
        <v>620</v>
      </c>
      <c r="E203" s="5" t="s">
        <v>621</v>
      </c>
      <c r="F203" s="45" t="n">
        <v>21126.3</v>
      </c>
      <c r="G203" s="24" t="n">
        <v>13356</v>
      </c>
      <c r="H203" s="46" t="n">
        <v>127078.56</v>
      </c>
      <c r="I203" s="6" t="s">
        <v>594</v>
      </c>
    </row>
    <row r="204" customFormat="false" ht="15" hidden="false" customHeight="false" outlineLevel="0" collapsed="false">
      <c r="A204" s="5" t="s">
        <v>619</v>
      </c>
      <c r="B204" s="5" t="s">
        <v>343</v>
      </c>
      <c r="C204" s="5" t="s">
        <v>586</v>
      </c>
      <c r="D204" s="5" t="s">
        <v>620</v>
      </c>
      <c r="E204" s="5" t="s">
        <v>621</v>
      </c>
      <c r="F204" s="45" t="n">
        <v>48749.3</v>
      </c>
      <c r="G204" s="24" t="n">
        <v>16285</v>
      </c>
      <c r="H204" s="46" t="n">
        <v>199129</v>
      </c>
      <c r="I204" s="6" t="s">
        <v>595</v>
      </c>
    </row>
    <row r="205" customFormat="false" ht="15" hidden="false" customHeight="false" outlineLevel="0" collapsed="false">
      <c r="A205" s="5" t="s">
        <v>619</v>
      </c>
      <c r="B205" s="5" t="s">
        <v>356</v>
      </c>
      <c r="C205" s="5" t="s">
        <v>586</v>
      </c>
      <c r="D205" s="5" t="s">
        <v>620</v>
      </c>
      <c r="E205" s="5" t="s">
        <v>621</v>
      </c>
      <c r="F205" s="45" t="n">
        <v>57926.3</v>
      </c>
      <c r="G205" s="24" t="n">
        <v>21053</v>
      </c>
      <c r="H205" s="46" t="n">
        <v>328146.03</v>
      </c>
      <c r="I205" s="6" t="s">
        <v>596</v>
      </c>
    </row>
    <row r="206" customFormat="false" ht="15" hidden="false" customHeight="false" outlineLevel="0" collapsed="false">
      <c r="A206" s="5" t="s">
        <v>619</v>
      </c>
      <c r="B206" s="5" t="s">
        <v>369</v>
      </c>
      <c r="C206" s="5" t="s">
        <v>586</v>
      </c>
      <c r="D206" s="5" t="s">
        <v>620</v>
      </c>
      <c r="E206" s="5" t="s">
        <v>621</v>
      </c>
      <c r="F206" s="45" t="n">
        <v>11178.1</v>
      </c>
      <c r="G206" s="24" t="n">
        <v>4072</v>
      </c>
      <c r="H206" s="46" t="n">
        <v>79592.07</v>
      </c>
      <c r="I206" s="6" t="s">
        <v>597</v>
      </c>
    </row>
    <row r="207" customFormat="false" ht="15" hidden="false" customHeight="false" outlineLevel="0" collapsed="false">
      <c r="A207" s="5" t="s">
        <v>622</v>
      </c>
      <c r="B207" s="5" t="s">
        <v>265</v>
      </c>
      <c r="C207" s="5" t="s">
        <v>586</v>
      </c>
      <c r="D207" s="5" t="s">
        <v>620</v>
      </c>
      <c r="E207" s="5" t="s">
        <v>623</v>
      </c>
      <c r="F207" s="45" t="n">
        <v>97289.7</v>
      </c>
      <c r="G207" s="24" t="n">
        <v>58875</v>
      </c>
      <c r="H207" s="46" t="n">
        <v>1236762.38</v>
      </c>
      <c r="I207" s="6" t="s">
        <v>589</v>
      </c>
    </row>
    <row r="208" customFormat="false" ht="15" hidden="false" customHeight="false" outlineLevel="0" collapsed="false">
      <c r="A208" s="5" t="s">
        <v>622</v>
      </c>
      <c r="B208" s="5" t="s">
        <v>278</v>
      </c>
      <c r="C208" s="5" t="s">
        <v>586</v>
      </c>
      <c r="D208" s="5" t="s">
        <v>620</v>
      </c>
      <c r="E208" s="5" t="s">
        <v>623</v>
      </c>
      <c r="F208" s="45" t="n">
        <v>83148.3</v>
      </c>
      <c r="G208" s="24" t="n">
        <v>57404</v>
      </c>
      <c r="H208" s="46" t="n">
        <v>883289.83</v>
      </c>
      <c r="I208" s="6" t="s">
        <v>590</v>
      </c>
    </row>
    <row r="209" customFormat="false" ht="15" hidden="false" customHeight="false" outlineLevel="0" collapsed="false">
      <c r="A209" s="5" t="s">
        <v>622</v>
      </c>
      <c r="B209" s="5" t="s">
        <v>291</v>
      </c>
      <c r="C209" s="5" t="s">
        <v>586</v>
      </c>
      <c r="D209" s="5" t="s">
        <v>620</v>
      </c>
      <c r="E209" s="5" t="s">
        <v>623</v>
      </c>
      <c r="F209" s="45" t="n">
        <v>76991.4</v>
      </c>
      <c r="G209" s="24" t="n">
        <v>50980</v>
      </c>
      <c r="H209" s="46" t="n">
        <v>550439.89</v>
      </c>
      <c r="I209" s="6" t="s">
        <v>591</v>
      </c>
    </row>
    <row r="210" customFormat="false" ht="15" hidden="false" customHeight="false" outlineLevel="0" collapsed="false">
      <c r="A210" s="5" t="s">
        <v>622</v>
      </c>
      <c r="B210" s="5" t="s">
        <v>304</v>
      </c>
      <c r="C210" s="5" t="s">
        <v>586</v>
      </c>
      <c r="D210" s="5" t="s">
        <v>620</v>
      </c>
      <c r="E210" s="5" t="s">
        <v>623</v>
      </c>
      <c r="F210" s="45" t="n">
        <v>77267.3</v>
      </c>
      <c r="G210" s="24" t="n">
        <v>47392</v>
      </c>
      <c r="H210" s="46" t="n">
        <v>520421.3</v>
      </c>
      <c r="I210" s="6" t="s">
        <v>592</v>
      </c>
    </row>
    <row r="211" customFormat="false" ht="15" hidden="false" customHeight="false" outlineLevel="0" collapsed="false">
      <c r="A211" s="5" t="s">
        <v>622</v>
      </c>
      <c r="B211" s="5" t="s">
        <v>317</v>
      </c>
      <c r="C211" s="5" t="s">
        <v>586</v>
      </c>
      <c r="D211" s="5" t="s">
        <v>620</v>
      </c>
      <c r="E211" s="5" t="s">
        <v>623</v>
      </c>
      <c r="F211" s="45" t="n">
        <v>42048.5</v>
      </c>
      <c r="G211" s="24" t="n">
        <v>27602</v>
      </c>
      <c r="H211" s="46" t="n">
        <v>358576.34</v>
      </c>
      <c r="I211" s="6" t="s">
        <v>593</v>
      </c>
    </row>
    <row r="212" customFormat="false" ht="15" hidden="false" customHeight="false" outlineLevel="0" collapsed="false">
      <c r="A212" s="5" t="s">
        <v>622</v>
      </c>
      <c r="B212" s="5" t="s">
        <v>330</v>
      </c>
      <c r="C212" s="5" t="s">
        <v>586</v>
      </c>
      <c r="D212" s="5" t="s">
        <v>620</v>
      </c>
      <c r="E212" s="5" t="s">
        <v>623</v>
      </c>
      <c r="F212" s="45" t="n">
        <v>49883.9</v>
      </c>
      <c r="G212" s="24" t="n">
        <v>31582</v>
      </c>
      <c r="H212" s="46" t="n">
        <v>421674.82</v>
      </c>
      <c r="I212" s="6" t="s">
        <v>594</v>
      </c>
    </row>
    <row r="213" customFormat="false" ht="15" hidden="false" customHeight="false" outlineLevel="0" collapsed="false">
      <c r="A213" s="5" t="s">
        <v>622</v>
      </c>
      <c r="B213" s="5" t="s">
        <v>343</v>
      </c>
      <c r="C213" s="5" t="s">
        <v>586</v>
      </c>
      <c r="D213" s="5" t="s">
        <v>620</v>
      </c>
      <c r="E213" s="5" t="s">
        <v>623</v>
      </c>
      <c r="F213" s="45" t="n">
        <v>35858.1</v>
      </c>
      <c r="G213" s="24" t="n">
        <v>22395</v>
      </c>
      <c r="H213" s="46" t="n">
        <v>257974.36</v>
      </c>
      <c r="I213" s="6" t="s">
        <v>595</v>
      </c>
    </row>
    <row r="214" customFormat="false" ht="15" hidden="false" customHeight="false" outlineLevel="0" collapsed="false">
      <c r="A214" s="5" t="s">
        <v>622</v>
      </c>
      <c r="B214" s="5" t="s">
        <v>356</v>
      </c>
      <c r="C214" s="5" t="s">
        <v>586</v>
      </c>
      <c r="D214" s="5" t="s">
        <v>620</v>
      </c>
      <c r="E214" s="5" t="s">
        <v>623</v>
      </c>
      <c r="F214" s="45" t="n">
        <v>34886.1</v>
      </c>
      <c r="G214" s="24" t="n">
        <v>22904</v>
      </c>
      <c r="H214" s="46" t="n">
        <v>369680.31</v>
      </c>
      <c r="I214" s="6" t="s">
        <v>596</v>
      </c>
    </row>
    <row r="215" customFormat="false" ht="15" hidden="false" customHeight="false" outlineLevel="0" collapsed="false">
      <c r="A215" s="5" t="s">
        <v>622</v>
      </c>
      <c r="B215" s="5" t="s">
        <v>369</v>
      </c>
      <c r="C215" s="5" t="s">
        <v>586</v>
      </c>
      <c r="D215" s="5" t="s">
        <v>620</v>
      </c>
      <c r="E215" s="5" t="s">
        <v>623</v>
      </c>
      <c r="F215" s="45" t="n">
        <v>6302.1</v>
      </c>
      <c r="G215" s="24" t="n">
        <v>4457</v>
      </c>
      <c r="H215" s="46" t="n">
        <v>90290.26</v>
      </c>
      <c r="I215" s="6" t="s">
        <v>597</v>
      </c>
    </row>
    <row r="216" customFormat="false" ht="15" hidden="false" customHeight="false" outlineLevel="0" collapsed="false">
      <c r="A216" s="5" t="s">
        <v>624</v>
      </c>
      <c r="B216" s="5" t="s">
        <v>265</v>
      </c>
      <c r="C216" s="5" t="s">
        <v>586</v>
      </c>
      <c r="D216" s="5" t="s">
        <v>620</v>
      </c>
      <c r="E216" s="5" t="s">
        <v>625</v>
      </c>
      <c r="F216" s="45" t="n">
        <v>329208.7</v>
      </c>
      <c r="G216" s="24" t="n">
        <v>226008</v>
      </c>
      <c r="H216" s="46" t="n">
        <v>5383249.15</v>
      </c>
      <c r="I216" s="6" t="s">
        <v>589</v>
      </c>
    </row>
    <row r="217" customFormat="false" ht="15" hidden="false" customHeight="false" outlineLevel="0" collapsed="false">
      <c r="A217" s="5" t="s">
        <v>624</v>
      </c>
      <c r="B217" s="5" t="s">
        <v>278</v>
      </c>
      <c r="C217" s="5" t="s">
        <v>586</v>
      </c>
      <c r="D217" s="5" t="s">
        <v>620</v>
      </c>
      <c r="E217" s="5" t="s">
        <v>625</v>
      </c>
      <c r="F217" s="45" t="n">
        <v>298941.1</v>
      </c>
      <c r="G217" s="24" t="n">
        <v>201175</v>
      </c>
      <c r="H217" s="46" t="n">
        <v>3510609.23</v>
      </c>
      <c r="I217" s="6" t="s">
        <v>590</v>
      </c>
    </row>
    <row r="218" customFormat="false" ht="15" hidden="false" customHeight="false" outlineLevel="0" collapsed="false">
      <c r="A218" s="5" t="s">
        <v>624</v>
      </c>
      <c r="B218" s="5" t="s">
        <v>291</v>
      </c>
      <c r="C218" s="5" t="s">
        <v>586</v>
      </c>
      <c r="D218" s="5" t="s">
        <v>620</v>
      </c>
      <c r="E218" s="5" t="s">
        <v>625</v>
      </c>
      <c r="F218" s="45" t="n">
        <v>245012.2</v>
      </c>
      <c r="G218" s="24" t="n">
        <v>157795</v>
      </c>
      <c r="H218" s="46" t="n">
        <v>2210654.25</v>
      </c>
      <c r="I218" s="6" t="s">
        <v>591</v>
      </c>
    </row>
    <row r="219" customFormat="false" ht="15" hidden="false" customHeight="false" outlineLevel="0" collapsed="false">
      <c r="A219" s="5" t="s">
        <v>624</v>
      </c>
      <c r="B219" s="5" t="s">
        <v>304</v>
      </c>
      <c r="C219" s="5" t="s">
        <v>586</v>
      </c>
      <c r="D219" s="5" t="s">
        <v>620</v>
      </c>
      <c r="E219" s="5" t="s">
        <v>625</v>
      </c>
      <c r="F219" s="45" t="n">
        <v>230648.1</v>
      </c>
      <c r="G219" s="24" t="n">
        <v>151650</v>
      </c>
      <c r="H219" s="46" t="n">
        <v>1928913.94</v>
      </c>
      <c r="I219" s="6" t="s">
        <v>592</v>
      </c>
    </row>
    <row r="220" customFormat="false" ht="15" hidden="false" customHeight="false" outlineLevel="0" collapsed="false">
      <c r="A220" s="5" t="s">
        <v>624</v>
      </c>
      <c r="B220" s="5" t="s">
        <v>317</v>
      </c>
      <c r="C220" s="5" t="s">
        <v>586</v>
      </c>
      <c r="D220" s="5" t="s">
        <v>620</v>
      </c>
      <c r="E220" s="5" t="s">
        <v>625</v>
      </c>
      <c r="F220" s="45" t="n">
        <v>124500.2</v>
      </c>
      <c r="G220" s="24" t="n">
        <v>82563</v>
      </c>
      <c r="H220" s="46" t="n">
        <v>1269498.17</v>
      </c>
      <c r="I220" s="6" t="s">
        <v>593</v>
      </c>
    </row>
    <row r="221" customFormat="false" ht="15" hidden="false" customHeight="false" outlineLevel="0" collapsed="false">
      <c r="A221" s="5" t="s">
        <v>624</v>
      </c>
      <c r="B221" s="5" t="s">
        <v>330</v>
      </c>
      <c r="C221" s="5" t="s">
        <v>586</v>
      </c>
      <c r="D221" s="5" t="s">
        <v>620</v>
      </c>
      <c r="E221" s="5" t="s">
        <v>625</v>
      </c>
      <c r="F221" s="45" t="n">
        <v>153118.9</v>
      </c>
      <c r="G221" s="24" t="n">
        <v>97612</v>
      </c>
      <c r="H221" s="46" t="n">
        <v>1738435.23</v>
      </c>
      <c r="I221" s="6" t="s">
        <v>594</v>
      </c>
    </row>
    <row r="222" customFormat="false" ht="15" hidden="false" customHeight="false" outlineLevel="0" collapsed="false">
      <c r="A222" s="5" t="s">
        <v>624</v>
      </c>
      <c r="B222" s="5" t="s">
        <v>343</v>
      </c>
      <c r="C222" s="5" t="s">
        <v>586</v>
      </c>
      <c r="D222" s="5" t="s">
        <v>620</v>
      </c>
      <c r="E222" s="5" t="s">
        <v>625</v>
      </c>
      <c r="F222" s="45" t="n">
        <v>109369</v>
      </c>
      <c r="G222" s="24" t="n">
        <v>64580</v>
      </c>
      <c r="H222" s="46" t="n">
        <v>1113904.72</v>
      </c>
      <c r="I222" s="6" t="s">
        <v>595</v>
      </c>
    </row>
    <row r="223" customFormat="false" ht="15" hidden="false" customHeight="false" outlineLevel="0" collapsed="false">
      <c r="A223" s="5" t="s">
        <v>624</v>
      </c>
      <c r="B223" s="5" t="s">
        <v>356</v>
      </c>
      <c r="C223" s="5" t="s">
        <v>586</v>
      </c>
      <c r="D223" s="5" t="s">
        <v>620</v>
      </c>
      <c r="E223" s="5" t="s">
        <v>625</v>
      </c>
      <c r="F223" s="45" t="n">
        <v>116695.5</v>
      </c>
      <c r="G223" s="24" t="n">
        <v>62046</v>
      </c>
      <c r="H223" s="46" t="n">
        <v>1491294.93</v>
      </c>
      <c r="I223" s="6" t="s">
        <v>596</v>
      </c>
    </row>
    <row r="224" customFormat="false" ht="15" hidden="false" customHeight="false" outlineLevel="0" collapsed="false">
      <c r="A224" s="5" t="s">
        <v>624</v>
      </c>
      <c r="B224" s="5" t="s">
        <v>369</v>
      </c>
      <c r="C224" s="5" t="s">
        <v>586</v>
      </c>
      <c r="D224" s="5" t="s">
        <v>620</v>
      </c>
      <c r="E224" s="5" t="s">
        <v>625</v>
      </c>
      <c r="F224" s="45" t="n">
        <v>17336</v>
      </c>
      <c r="G224" s="24" t="n">
        <v>12785</v>
      </c>
      <c r="H224" s="46" t="n">
        <v>233551.47</v>
      </c>
      <c r="I224" s="6" t="s">
        <v>597</v>
      </c>
    </row>
    <row r="225" customFormat="false" ht="15" hidden="false" customHeight="false" outlineLevel="0" collapsed="false">
      <c r="A225" s="5" t="s">
        <v>626</v>
      </c>
      <c r="B225" s="5" t="s">
        <v>265</v>
      </c>
      <c r="C225" s="5" t="s">
        <v>586</v>
      </c>
      <c r="D225" s="5" t="s">
        <v>620</v>
      </c>
      <c r="E225" s="5" t="s">
        <v>627</v>
      </c>
      <c r="F225" s="45" t="n">
        <v>81</v>
      </c>
      <c r="G225" s="24" t="n">
        <v>73</v>
      </c>
      <c r="H225" s="46" t="n">
        <v>364.61</v>
      </c>
      <c r="I225" s="6" t="s">
        <v>589</v>
      </c>
    </row>
    <row r="226" customFormat="false" ht="15" hidden="false" customHeight="false" outlineLevel="0" collapsed="false">
      <c r="A226" s="5" t="s">
        <v>628</v>
      </c>
      <c r="B226" s="5" t="s">
        <v>265</v>
      </c>
      <c r="C226" s="5" t="s">
        <v>586</v>
      </c>
      <c r="D226" s="5" t="s">
        <v>620</v>
      </c>
      <c r="E226" s="5" t="s">
        <v>623</v>
      </c>
      <c r="F226" s="45" t="n">
        <v>8220</v>
      </c>
      <c r="G226" s="24" t="n">
        <v>5361</v>
      </c>
      <c r="H226" s="46" t="n">
        <v>136405.03</v>
      </c>
      <c r="I226" s="6" t="s">
        <v>589</v>
      </c>
    </row>
    <row r="227" customFormat="false" ht="15" hidden="false" customHeight="false" outlineLevel="0" collapsed="false">
      <c r="A227" s="5" t="s">
        <v>628</v>
      </c>
      <c r="B227" s="5" t="s">
        <v>278</v>
      </c>
      <c r="C227" s="5" t="s">
        <v>586</v>
      </c>
      <c r="D227" s="5" t="s">
        <v>620</v>
      </c>
      <c r="E227" s="5" t="s">
        <v>623</v>
      </c>
      <c r="F227" s="45" t="n">
        <v>8039.5</v>
      </c>
      <c r="G227" s="24" t="n">
        <v>5411</v>
      </c>
      <c r="H227" s="46" t="n">
        <v>110759.19</v>
      </c>
      <c r="I227" s="6" t="s">
        <v>590</v>
      </c>
    </row>
    <row r="228" customFormat="false" ht="15" hidden="false" customHeight="false" outlineLevel="0" collapsed="false">
      <c r="A228" s="5" t="s">
        <v>628</v>
      </c>
      <c r="B228" s="5" t="s">
        <v>291</v>
      </c>
      <c r="C228" s="5" t="s">
        <v>586</v>
      </c>
      <c r="D228" s="5" t="s">
        <v>620</v>
      </c>
      <c r="E228" s="5" t="s">
        <v>623</v>
      </c>
      <c r="F228" s="45" t="n">
        <v>6969</v>
      </c>
      <c r="G228" s="24" t="n">
        <v>5467</v>
      </c>
      <c r="H228" s="46" t="n">
        <v>96606.61</v>
      </c>
      <c r="I228" s="6" t="s">
        <v>591</v>
      </c>
    </row>
    <row r="229" customFormat="false" ht="15" hidden="false" customHeight="false" outlineLevel="0" collapsed="false">
      <c r="A229" s="5" t="s">
        <v>628</v>
      </c>
      <c r="B229" s="5" t="s">
        <v>304</v>
      </c>
      <c r="C229" s="5" t="s">
        <v>586</v>
      </c>
      <c r="D229" s="5" t="s">
        <v>620</v>
      </c>
      <c r="E229" s="5" t="s">
        <v>623</v>
      </c>
      <c r="F229" s="45" t="n">
        <v>8438.5</v>
      </c>
      <c r="G229" s="24" t="n">
        <v>6075</v>
      </c>
      <c r="H229" s="46" t="n">
        <v>86288.15</v>
      </c>
      <c r="I229" s="6" t="s">
        <v>592</v>
      </c>
    </row>
    <row r="230" customFormat="false" ht="15" hidden="false" customHeight="false" outlineLevel="0" collapsed="false">
      <c r="A230" s="5" t="s">
        <v>628</v>
      </c>
      <c r="B230" s="5" t="s">
        <v>317</v>
      </c>
      <c r="C230" s="5" t="s">
        <v>586</v>
      </c>
      <c r="D230" s="5" t="s">
        <v>620</v>
      </c>
      <c r="E230" s="5" t="s">
        <v>623</v>
      </c>
      <c r="F230" s="45" t="n">
        <v>9126.5</v>
      </c>
      <c r="G230" s="24" t="n">
        <v>3816</v>
      </c>
      <c r="H230" s="46" t="n">
        <v>40912.67</v>
      </c>
      <c r="I230" s="6" t="s">
        <v>593</v>
      </c>
    </row>
    <row r="231" customFormat="false" ht="15" hidden="false" customHeight="false" outlineLevel="0" collapsed="false">
      <c r="A231" s="5" t="s">
        <v>628</v>
      </c>
      <c r="B231" s="5" t="s">
        <v>330</v>
      </c>
      <c r="C231" s="5" t="s">
        <v>586</v>
      </c>
      <c r="D231" s="5" t="s">
        <v>620</v>
      </c>
      <c r="E231" s="5" t="s">
        <v>623</v>
      </c>
      <c r="F231" s="45" t="n">
        <v>3795.5</v>
      </c>
      <c r="G231" s="24" t="n">
        <v>2998</v>
      </c>
      <c r="H231" s="46" t="n">
        <v>33059.76</v>
      </c>
      <c r="I231" s="6" t="s">
        <v>594</v>
      </c>
    </row>
    <row r="232" customFormat="false" ht="15" hidden="false" customHeight="false" outlineLevel="0" collapsed="false">
      <c r="A232" s="5" t="s">
        <v>628</v>
      </c>
      <c r="B232" s="5" t="s">
        <v>343</v>
      </c>
      <c r="C232" s="5" t="s">
        <v>586</v>
      </c>
      <c r="D232" s="5" t="s">
        <v>620</v>
      </c>
      <c r="E232" s="5" t="s">
        <v>623</v>
      </c>
      <c r="F232" s="45" t="n">
        <v>6246</v>
      </c>
      <c r="G232" s="24" t="n">
        <v>2968</v>
      </c>
      <c r="H232" s="46" t="n">
        <v>74861.61</v>
      </c>
      <c r="I232" s="6" t="s">
        <v>595</v>
      </c>
    </row>
    <row r="233" customFormat="false" ht="15" hidden="false" customHeight="false" outlineLevel="0" collapsed="false">
      <c r="A233" s="5" t="s">
        <v>628</v>
      </c>
      <c r="B233" s="5" t="s">
        <v>356</v>
      </c>
      <c r="C233" s="5" t="s">
        <v>586</v>
      </c>
      <c r="D233" s="5" t="s">
        <v>620</v>
      </c>
      <c r="E233" s="5" t="s">
        <v>623</v>
      </c>
      <c r="F233" s="45" t="n">
        <v>7696.6</v>
      </c>
      <c r="G233" s="24" t="n">
        <v>3858</v>
      </c>
      <c r="H233" s="46" t="n">
        <v>91264.3</v>
      </c>
      <c r="I233" s="6" t="s">
        <v>596</v>
      </c>
    </row>
    <row r="234" customFormat="false" ht="15" hidden="false" customHeight="false" outlineLevel="0" collapsed="false">
      <c r="A234" s="5" t="s">
        <v>628</v>
      </c>
      <c r="B234" s="5" t="s">
        <v>369</v>
      </c>
      <c r="C234" s="5" t="s">
        <v>586</v>
      </c>
      <c r="D234" s="5" t="s">
        <v>620</v>
      </c>
      <c r="E234" s="5" t="s">
        <v>623</v>
      </c>
      <c r="F234" s="45" t="n">
        <v>603.1</v>
      </c>
      <c r="G234" s="24" t="n">
        <v>506</v>
      </c>
      <c r="H234" s="46" t="n">
        <v>15321.81</v>
      </c>
      <c r="I234" s="6" t="s">
        <v>597</v>
      </c>
    </row>
    <row r="235" customFormat="false" ht="15" hidden="false" customHeight="false" outlineLevel="0" collapsed="false">
      <c r="A235" s="5" t="s">
        <v>629</v>
      </c>
      <c r="B235" s="5" t="s">
        <v>265</v>
      </c>
      <c r="C235" s="5" t="s">
        <v>586</v>
      </c>
      <c r="D235" s="5" t="s">
        <v>620</v>
      </c>
      <c r="E235" s="5" t="s">
        <v>625</v>
      </c>
      <c r="F235" s="45" t="n">
        <v>14069</v>
      </c>
      <c r="G235" s="24" t="n">
        <v>9210</v>
      </c>
      <c r="H235" s="46" t="n">
        <v>282219.84</v>
      </c>
      <c r="I235" s="6" t="s">
        <v>589</v>
      </c>
    </row>
    <row r="236" customFormat="false" ht="15" hidden="false" customHeight="false" outlineLevel="0" collapsed="false">
      <c r="A236" s="5" t="s">
        <v>629</v>
      </c>
      <c r="B236" s="5" t="s">
        <v>278</v>
      </c>
      <c r="C236" s="5" t="s">
        <v>586</v>
      </c>
      <c r="D236" s="5" t="s">
        <v>620</v>
      </c>
      <c r="E236" s="5" t="s">
        <v>625</v>
      </c>
      <c r="F236" s="45" t="n">
        <v>16262.5</v>
      </c>
      <c r="G236" s="24" t="n">
        <v>10145</v>
      </c>
      <c r="H236" s="46" t="n">
        <v>234471.77</v>
      </c>
      <c r="I236" s="6" t="s">
        <v>590</v>
      </c>
    </row>
    <row r="237" customFormat="false" ht="15" hidden="false" customHeight="false" outlineLevel="0" collapsed="false">
      <c r="A237" s="5" t="s">
        <v>629</v>
      </c>
      <c r="B237" s="5" t="s">
        <v>291</v>
      </c>
      <c r="C237" s="5" t="s">
        <v>586</v>
      </c>
      <c r="D237" s="5" t="s">
        <v>620</v>
      </c>
      <c r="E237" s="5" t="s">
        <v>625</v>
      </c>
      <c r="F237" s="45" t="n">
        <v>13414.5</v>
      </c>
      <c r="G237" s="24" t="n">
        <v>8401</v>
      </c>
      <c r="H237" s="46" t="n">
        <v>91458.6</v>
      </c>
      <c r="I237" s="6" t="s">
        <v>591</v>
      </c>
    </row>
    <row r="238" customFormat="false" ht="15" hidden="false" customHeight="false" outlineLevel="0" collapsed="false">
      <c r="A238" s="5" t="s">
        <v>629</v>
      </c>
      <c r="B238" s="5" t="s">
        <v>304</v>
      </c>
      <c r="C238" s="5" t="s">
        <v>586</v>
      </c>
      <c r="D238" s="5" t="s">
        <v>620</v>
      </c>
      <c r="E238" s="5" t="s">
        <v>625</v>
      </c>
      <c r="F238" s="45" t="n">
        <v>12356</v>
      </c>
      <c r="G238" s="24" t="n">
        <v>7407</v>
      </c>
      <c r="H238" s="46" t="n">
        <v>85775.51</v>
      </c>
      <c r="I238" s="6" t="s">
        <v>592</v>
      </c>
    </row>
    <row r="239" customFormat="false" ht="15" hidden="false" customHeight="false" outlineLevel="0" collapsed="false">
      <c r="A239" s="5" t="s">
        <v>629</v>
      </c>
      <c r="B239" s="5" t="s">
        <v>317</v>
      </c>
      <c r="C239" s="5" t="s">
        <v>586</v>
      </c>
      <c r="D239" s="5" t="s">
        <v>620</v>
      </c>
      <c r="E239" s="5" t="s">
        <v>625</v>
      </c>
      <c r="F239" s="45" t="n">
        <v>6286.5</v>
      </c>
      <c r="G239" s="24" t="n">
        <v>4494</v>
      </c>
      <c r="H239" s="46" t="n">
        <v>48053.47</v>
      </c>
      <c r="I239" s="6" t="s">
        <v>593</v>
      </c>
    </row>
    <row r="240" customFormat="false" ht="15" hidden="false" customHeight="false" outlineLevel="0" collapsed="false">
      <c r="A240" s="5" t="s">
        <v>629</v>
      </c>
      <c r="B240" s="5" t="s">
        <v>330</v>
      </c>
      <c r="C240" s="5" t="s">
        <v>586</v>
      </c>
      <c r="D240" s="5" t="s">
        <v>620</v>
      </c>
      <c r="E240" s="5" t="s">
        <v>625</v>
      </c>
      <c r="F240" s="45" t="n">
        <v>5418</v>
      </c>
      <c r="G240" s="24" t="n">
        <v>4323</v>
      </c>
      <c r="H240" s="46" t="n">
        <v>73290.44</v>
      </c>
      <c r="I240" s="6" t="s">
        <v>594</v>
      </c>
    </row>
    <row r="241" customFormat="false" ht="15" hidden="false" customHeight="false" outlineLevel="0" collapsed="false">
      <c r="A241" s="5" t="s">
        <v>629</v>
      </c>
      <c r="B241" s="5" t="s">
        <v>343</v>
      </c>
      <c r="C241" s="5" t="s">
        <v>586</v>
      </c>
      <c r="D241" s="5" t="s">
        <v>620</v>
      </c>
      <c r="E241" s="5" t="s">
        <v>625</v>
      </c>
      <c r="F241" s="45" t="n">
        <v>16576.7</v>
      </c>
      <c r="G241" s="24" t="n">
        <v>2101</v>
      </c>
      <c r="H241" s="46" t="n">
        <v>34298.41</v>
      </c>
      <c r="I241" s="6" t="s">
        <v>595</v>
      </c>
    </row>
    <row r="242" customFormat="false" ht="15" hidden="false" customHeight="false" outlineLevel="0" collapsed="false">
      <c r="A242" s="5" t="s">
        <v>629</v>
      </c>
      <c r="B242" s="5" t="s">
        <v>356</v>
      </c>
      <c r="C242" s="5" t="s">
        <v>586</v>
      </c>
      <c r="D242" s="5" t="s">
        <v>620</v>
      </c>
      <c r="E242" s="5" t="s">
        <v>625</v>
      </c>
      <c r="F242" s="45" t="n">
        <v>13174.8</v>
      </c>
      <c r="G242" s="24" t="n">
        <v>2550</v>
      </c>
      <c r="H242" s="46" t="n">
        <v>170553.99</v>
      </c>
      <c r="I242" s="6" t="s">
        <v>596</v>
      </c>
    </row>
    <row r="243" customFormat="false" ht="15" hidden="false" customHeight="false" outlineLevel="0" collapsed="false">
      <c r="A243" s="5" t="s">
        <v>629</v>
      </c>
      <c r="B243" s="5" t="s">
        <v>369</v>
      </c>
      <c r="C243" s="5" t="s">
        <v>586</v>
      </c>
      <c r="D243" s="5" t="s">
        <v>620</v>
      </c>
      <c r="E243" s="5" t="s">
        <v>625</v>
      </c>
      <c r="F243" s="45" t="n">
        <v>474.9</v>
      </c>
      <c r="G243" s="24" t="n">
        <v>463</v>
      </c>
      <c r="H243" s="46" t="n">
        <v>3698.56</v>
      </c>
      <c r="I243" s="6" t="s">
        <v>597</v>
      </c>
    </row>
    <row r="244" customFormat="false" ht="15" hidden="false" customHeight="false" outlineLevel="0" collapsed="false">
      <c r="A244" s="5" t="s">
        <v>630</v>
      </c>
      <c r="B244" s="5" t="s">
        <v>265</v>
      </c>
      <c r="C244" s="5" t="s">
        <v>586</v>
      </c>
      <c r="D244" s="5" t="s">
        <v>620</v>
      </c>
      <c r="E244" s="5" t="s">
        <v>631</v>
      </c>
      <c r="F244" s="45" t="n">
        <v>203073.2</v>
      </c>
      <c r="G244" s="24" t="n">
        <v>160579</v>
      </c>
      <c r="H244" s="46" t="n">
        <v>3559085.16</v>
      </c>
      <c r="I244" s="6" t="s">
        <v>589</v>
      </c>
    </row>
    <row r="245" customFormat="false" ht="15" hidden="false" customHeight="false" outlineLevel="0" collapsed="false">
      <c r="A245" s="5" t="s">
        <v>630</v>
      </c>
      <c r="B245" s="5" t="s">
        <v>278</v>
      </c>
      <c r="C245" s="5" t="s">
        <v>586</v>
      </c>
      <c r="D245" s="5" t="s">
        <v>620</v>
      </c>
      <c r="E245" s="5" t="s">
        <v>631</v>
      </c>
      <c r="F245" s="45" t="n">
        <v>206555.5</v>
      </c>
      <c r="G245" s="24" t="n">
        <v>145415</v>
      </c>
      <c r="H245" s="46" t="n">
        <v>3102827.23</v>
      </c>
      <c r="I245" s="6" t="s">
        <v>590</v>
      </c>
    </row>
    <row r="246" customFormat="false" ht="15" hidden="false" customHeight="false" outlineLevel="0" collapsed="false">
      <c r="A246" s="5" t="s">
        <v>630</v>
      </c>
      <c r="B246" s="5" t="s">
        <v>291</v>
      </c>
      <c r="C246" s="5" t="s">
        <v>586</v>
      </c>
      <c r="D246" s="5" t="s">
        <v>620</v>
      </c>
      <c r="E246" s="5" t="s">
        <v>631</v>
      </c>
      <c r="F246" s="45" t="n">
        <v>166835.5</v>
      </c>
      <c r="G246" s="24" t="n">
        <v>130355</v>
      </c>
      <c r="H246" s="46" t="n">
        <v>2219017.75</v>
      </c>
      <c r="I246" s="6" t="s">
        <v>591</v>
      </c>
    </row>
    <row r="247" customFormat="false" ht="15" hidden="false" customHeight="false" outlineLevel="0" collapsed="false">
      <c r="A247" s="5" t="s">
        <v>630</v>
      </c>
      <c r="B247" s="5" t="s">
        <v>304</v>
      </c>
      <c r="C247" s="5" t="s">
        <v>586</v>
      </c>
      <c r="D247" s="5" t="s">
        <v>620</v>
      </c>
      <c r="E247" s="5" t="s">
        <v>631</v>
      </c>
      <c r="F247" s="45" t="n">
        <v>130835.8</v>
      </c>
      <c r="G247" s="24" t="n">
        <v>103967</v>
      </c>
      <c r="H247" s="46" t="n">
        <v>1764019.72</v>
      </c>
      <c r="I247" s="6" t="s">
        <v>592</v>
      </c>
    </row>
    <row r="248" customFormat="false" ht="15" hidden="false" customHeight="false" outlineLevel="0" collapsed="false">
      <c r="A248" s="5" t="s">
        <v>630</v>
      </c>
      <c r="B248" s="5" t="s">
        <v>317</v>
      </c>
      <c r="C248" s="5" t="s">
        <v>586</v>
      </c>
      <c r="D248" s="5" t="s">
        <v>620</v>
      </c>
      <c r="E248" s="5" t="s">
        <v>631</v>
      </c>
      <c r="F248" s="45" t="n">
        <v>68697.9</v>
      </c>
      <c r="G248" s="24" t="n">
        <v>56455</v>
      </c>
      <c r="H248" s="46" t="n">
        <v>1218698.03</v>
      </c>
      <c r="I248" s="6" t="s">
        <v>593</v>
      </c>
    </row>
    <row r="249" customFormat="false" ht="15" hidden="false" customHeight="false" outlineLevel="0" collapsed="false">
      <c r="A249" s="5" t="s">
        <v>630</v>
      </c>
      <c r="B249" s="5" t="s">
        <v>330</v>
      </c>
      <c r="C249" s="5" t="s">
        <v>586</v>
      </c>
      <c r="D249" s="5" t="s">
        <v>620</v>
      </c>
      <c r="E249" s="5" t="s">
        <v>631</v>
      </c>
      <c r="F249" s="45" t="n">
        <v>81072.3</v>
      </c>
      <c r="G249" s="24" t="n">
        <v>67401</v>
      </c>
      <c r="H249" s="46" t="n">
        <v>1223635.47</v>
      </c>
      <c r="I249" s="6" t="s">
        <v>594</v>
      </c>
    </row>
    <row r="250" customFormat="false" ht="15" hidden="false" customHeight="false" outlineLevel="0" collapsed="false">
      <c r="A250" s="5" t="s">
        <v>630</v>
      </c>
      <c r="B250" s="5" t="s">
        <v>343</v>
      </c>
      <c r="C250" s="5" t="s">
        <v>586</v>
      </c>
      <c r="D250" s="5" t="s">
        <v>620</v>
      </c>
      <c r="E250" s="5" t="s">
        <v>631</v>
      </c>
      <c r="F250" s="45" t="n">
        <v>63688.5</v>
      </c>
      <c r="G250" s="24" t="n">
        <v>48824</v>
      </c>
      <c r="H250" s="46" t="n">
        <v>825001.46</v>
      </c>
      <c r="I250" s="6" t="s">
        <v>595</v>
      </c>
    </row>
    <row r="251" customFormat="false" ht="15" hidden="false" customHeight="false" outlineLevel="0" collapsed="false">
      <c r="A251" s="5" t="s">
        <v>630</v>
      </c>
      <c r="B251" s="5" t="s">
        <v>356</v>
      </c>
      <c r="C251" s="5" t="s">
        <v>586</v>
      </c>
      <c r="D251" s="5" t="s">
        <v>620</v>
      </c>
      <c r="E251" s="5" t="s">
        <v>631</v>
      </c>
      <c r="F251" s="45" t="n">
        <v>50713.5</v>
      </c>
      <c r="G251" s="24" t="n">
        <v>41209</v>
      </c>
      <c r="H251" s="46" t="n">
        <v>1169361.02</v>
      </c>
      <c r="I251" s="6" t="s">
        <v>596</v>
      </c>
    </row>
    <row r="252" customFormat="false" ht="15" hidden="false" customHeight="false" outlineLevel="0" collapsed="false">
      <c r="A252" s="5" t="s">
        <v>630</v>
      </c>
      <c r="B252" s="5" t="s">
        <v>369</v>
      </c>
      <c r="C252" s="5" t="s">
        <v>586</v>
      </c>
      <c r="D252" s="5" t="s">
        <v>620</v>
      </c>
      <c r="E252" s="5" t="s">
        <v>631</v>
      </c>
      <c r="F252" s="45" t="n">
        <v>6763.4</v>
      </c>
      <c r="G252" s="24" t="n">
        <v>7152</v>
      </c>
      <c r="H252" s="46" t="n">
        <v>252227.18</v>
      </c>
      <c r="I252" s="6" t="s">
        <v>597</v>
      </c>
    </row>
    <row r="253" customFormat="false" ht="15" hidden="false" customHeight="false" outlineLevel="0" collapsed="false">
      <c r="A253" s="5" t="s">
        <v>632</v>
      </c>
      <c r="B253" s="5" t="s">
        <v>265</v>
      </c>
      <c r="C253" s="5" t="s">
        <v>586</v>
      </c>
      <c r="D253" s="5" t="s">
        <v>620</v>
      </c>
      <c r="E253" s="5" t="s">
        <v>631</v>
      </c>
      <c r="F253" s="45" t="n">
        <v>7701.8</v>
      </c>
      <c r="G253" s="24" t="n">
        <v>6844</v>
      </c>
      <c r="H253" s="46" t="n">
        <v>148519.31</v>
      </c>
      <c r="I253" s="6" t="s">
        <v>589</v>
      </c>
    </row>
    <row r="254" customFormat="false" ht="15" hidden="false" customHeight="false" outlineLevel="0" collapsed="false">
      <c r="A254" s="5" t="s">
        <v>632</v>
      </c>
      <c r="B254" s="5" t="s">
        <v>278</v>
      </c>
      <c r="C254" s="5" t="s">
        <v>586</v>
      </c>
      <c r="D254" s="5" t="s">
        <v>620</v>
      </c>
      <c r="E254" s="5" t="s">
        <v>631</v>
      </c>
      <c r="F254" s="45" t="n">
        <v>8450.3</v>
      </c>
      <c r="G254" s="24" t="n">
        <v>6488</v>
      </c>
      <c r="H254" s="46" t="n">
        <v>130955.3</v>
      </c>
      <c r="I254" s="6" t="s">
        <v>590</v>
      </c>
    </row>
    <row r="255" customFormat="false" ht="15" hidden="false" customHeight="false" outlineLevel="0" collapsed="false">
      <c r="A255" s="5" t="s">
        <v>632</v>
      </c>
      <c r="B255" s="5" t="s">
        <v>291</v>
      </c>
      <c r="C255" s="5" t="s">
        <v>586</v>
      </c>
      <c r="D255" s="5" t="s">
        <v>620</v>
      </c>
      <c r="E255" s="5" t="s">
        <v>631</v>
      </c>
      <c r="F255" s="45" t="n">
        <v>4955.8</v>
      </c>
      <c r="G255" s="24" t="n">
        <v>4247</v>
      </c>
      <c r="H255" s="46" t="n">
        <v>85453.26</v>
      </c>
      <c r="I255" s="6" t="s">
        <v>591</v>
      </c>
    </row>
    <row r="256" customFormat="false" ht="15" hidden="false" customHeight="false" outlineLevel="0" collapsed="false">
      <c r="A256" s="5" t="s">
        <v>632</v>
      </c>
      <c r="B256" s="5" t="s">
        <v>304</v>
      </c>
      <c r="C256" s="5" t="s">
        <v>586</v>
      </c>
      <c r="D256" s="5" t="s">
        <v>620</v>
      </c>
      <c r="E256" s="5" t="s">
        <v>631</v>
      </c>
      <c r="F256" s="45" t="n">
        <v>5829.9</v>
      </c>
      <c r="G256" s="24" t="n">
        <v>4953</v>
      </c>
      <c r="H256" s="46" t="n">
        <v>105106.2</v>
      </c>
      <c r="I256" s="6" t="s">
        <v>592</v>
      </c>
    </row>
    <row r="257" customFormat="false" ht="15" hidden="false" customHeight="false" outlineLevel="0" collapsed="false">
      <c r="A257" s="5" t="s">
        <v>632</v>
      </c>
      <c r="B257" s="5" t="s">
        <v>317</v>
      </c>
      <c r="C257" s="5" t="s">
        <v>586</v>
      </c>
      <c r="D257" s="5" t="s">
        <v>620</v>
      </c>
      <c r="E257" s="5" t="s">
        <v>631</v>
      </c>
      <c r="F257" s="45" t="n">
        <v>2933.4</v>
      </c>
      <c r="G257" s="24" t="n">
        <v>2523</v>
      </c>
      <c r="H257" s="46" t="n">
        <v>76900.2</v>
      </c>
      <c r="I257" s="6" t="s">
        <v>593</v>
      </c>
    </row>
    <row r="258" customFormat="false" ht="15" hidden="false" customHeight="false" outlineLevel="0" collapsed="false">
      <c r="A258" s="5" t="s">
        <v>632</v>
      </c>
      <c r="B258" s="5" t="s">
        <v>330</v>
      </c>
      <c r="C258" s="5" t="s">
        <v>586</v>
      </c>
      <c r="D258" s="5" t="s">
        <v>620</v>
      </c>
      <c r="E258" s="5" t="s">
        <v>631</v>
      </c>
      <c r="F258" s="45" t="n">
        <v>3472.6</v>
      </c>
      <c r="G258" s="24" t="n">
        <v>2697</v>
      </c>
      <c r="H258" s="46" t="n">
        <v>45101.94</v>
      </c>
      <c r="I258" s="6" t="s">
        <v>594</v>
      </c>
    </row>
    <row r="259" customFormat="false" ht="15" hidden="false" customHeight="false" outlineLevel="0" collapsed="false">
      <c r="A259" s="5" t="s">
        <v>632</v>
      </c>
      <c r="B259" s="5" t="s">
        <v>343</v>
      </c>
      <c r="C259" s="5" t="s">
        <v>586</v>
      </c>
      <c r="D259" s="5" t="s">
        <v>620</v>
      </c>
      <c r="E259" s="5" t="s">
        <v>631</v>
      </c>
      <c r="F259" s="45" t="n">
        <v>8171.1</v>
      </c>
      <c r="G259" s="24" t="n">
        <v>2067</v>
      </c>
      <c r="H259" s="46" t="n">
        <v>31382.71</v>
      </c>
      <c r="I259" s="6" t="s">
        <v>595</v>
      </c>
    </row>
    <row r="260" customFormat="false" ht="15" hidden="false" customHeight="false" outlineLevel="0" collapsed="false">
      <c r="A260" s="5" t="s">
        <v>632</v>
      </c>
      <c r="B260" s="5" t="s">
        <v>356</v>
      </c>
      <c r="C260" s="5" t="s">
        <v>586</v>
      </c>
      <c r="D260" s="5" t="s">
        <v>620</v>
      </c>
      <c r="E260" s="5" t="s">
        <v>631</v>
      </c>
      <c r="F260" s="45" t="n">
        <v>1827.2</v>
      </c>
      <c r="G260" s="24" t="n">
        <v>1718</v>
      </c>
      <c r="H260" s="46" t="n">
        <v>23704.88</v>
      </c>
      <c r="I260" s="6" t="s">
        <v>596</v>
      </c>
    </row>
    <row r="261" customFormat="false" ht="15" hidden="false" customHeight="false" outlineLevel="0" collapsed="false">
      <c r="A261" s="5" t="s">
        <v>632</v>
      </c>
      <c r="B261" s="5" t="s">
        <v>369</v>
      </c>
      <c r="C261" s="5" t="s">
        <v>586</v>
      </c>
      <c r="D261" s="5" t="s">
        <v>620</v>
      </c>
      <c r="E261" s="5" t="s">
        <v>631</v>
      </c>
      <c r="F261" s="45" t="n">
        <v>365.7</v>
      </c>
      <c r="G261" s="24" t="n">
        <v>400</v>
      </c>
      <c r="H261" s="46" t="n">
        <v>3561.91</v>
      </c>
      <c r="I261" s="6" t="s">
        <v>597</v>
      </c>
    </row>
    <row r="262" customFormat="false" ht="15" hidden="false" customHeight="false" outlineLevel="0" collapsed="false">
      <c r="A262" s="5" t="s">
        <v>633</v>
      </c>
      <c r="B262" s="5" t="s">
        <v>265</v>
      </c>
      <c r="C262" s="5" t="s">
        <v>586</v>
      </c>
      <c r="D262" s="5" t="s">
        <v>587</v>
      </c>
      <c r="E262" s="5" t="s">
        <v>600</v>
      </c>
      <c r="F262" s="45" t="n">
        <v>9256.7</v>
      </c>
      <c r="G262" s="24" t="n">
        <v>8734</v>
      </c>
      <c r="H262" s="46" t="n">
        <v>1834043.29</v>
      </c>
      <c r="I262" s="6" t="s">
        <v>589</v>
      </c>
    </row>
    <row r="263" customFormat="false" ht="15" hidden="false" customHeight="false" outlineLevel="0" collapsed="false">
      <c r="A263" s="5" t="s">
        <v>633</v>
      </c>
      <c r="B263" s="5" t="s">
        <v>278</v>
      </c>
      <c r="C263" s="5" t="s">
        <v>586</v>
      </c>
      <c r="D263" s="5" t="s">
        <v>587</v>
      </c>
      <c r="E263" s="5" t="s">
        <v>600</v>
      </c>
      <c r="F263" s="45" t="n">
        <v>8819.7</v>
      </c>
      <c r="G263" s="24" t="n">
        <v>8174</v>
      </c>
      <c r="H263" s="46" t="n">
        <v>1357449.54</v>
      </c>
      <c r="I263" s="6" t="s">
        <v>590</v>
      </c>
    </row>
    <row r="264" customFormat="false" ht="15" hidden="false" customHeight="false" outlineLevel="0" collapsed="false">
      <c r="A264" s="5" t="s">
        <v>633</v>
      </c>
      <c r="B264" s="5" t="s">
        <v>291</v>
      </c>
      <c r="C264" s="5" t="s">
        <v>586</v>
      </c>
      <c r="D264" s="5" t="s">
        <v>587</v>
      </c>
      <c r="E264" s="5" t="s">
        <v>600</v>
      </c>
      <c r="F264" s="45" t="n">
        <v>6424.5</v>
      </c>
      <c r="G264" s="24" t="n">
        <v>7041</v>
      </c>
      <c r="H264" s="46" t="n">
        <v>1347627.27</v>
      </c>
      <c r="I264" s="6" t="s">
        <v>591</v>
      </c>
    </row>
    <row r="265" customFormat="false" ht="15" hidden="false" customHeight="false" outlineLevel="0" collapsed="false">
      <c r="A265" s="5" t="s">
        <v>633</v>
      </c>
      <c r="B265" s="5" t="s">
        <v>304</v>
      </c>
      <c r="C265" s="5" t="s">
        <v>586</v>
      </c>
      <c r="D265" s="5" t="s">
        <v>587</v>
      </c>
      <c r="E265" s="5" t="s">
        <v>600</v>
      </c>
      <c r="F265" s="45" t="n">
        <v>6547.6</v>
      </c>
      <c r="G265" s="24" t="n">
        <v>7169</v>
      </c>
      <c r="H265" s="46" t="n">
        <v>1356736.75</v>
      </c>
      <c r="I265" s="6" t="s">
        <v>592</v>
      </c>
    </row>
    <row r="266" customFormat="false" ht="15" hidden="false" customHeight="false" outlineLevel="0" collapsed="false">
      <c r="A266" s="5" t="s">
        <v>633</v>
      </c>
      <c r="B266" s="5" t="s">
        <v>317</v>
      </c>
      <c r="C266" s="5" t="s">
        <v>586</v>
      </c>
      <c r="D266" s="5" t="s">
        <v>587</v>
      </c>
      <c r="E266" s="5" t="s">
        <v>600</v>
      </c>
      <c r="F266" s="45" t="n">
        <v>5653.4</v>
      </c>
      <c r="G266" s="24" t="n">
        <v>7217</v>
      </c>
      <c r="H266" s="46" t="n">
        <v>2329594.27</v>
      </c>
      <c r="I266" s="6" t="s">
        <v>593</v>
      </c>
    </row>
    <row r="267" customFormat="false" ht="15" hidden="false" customHeight="false" outlineLevel="0" collapsed="false">
      <c r="A267" s="5" t="s">
        <v>633</v>
      </c>
      <c r="B267" s="5" t="s">
        <v>330</v>
      </c>
      <c r="C267" s="5" t="s">
        <v>586</v>
      </c>
      <c r="D267" s="5" t="s">
        <v>587</v>
      </c>
      <c r="E267" s="5" t="s">
        <v>600</v>
      </c>
      <c r="F267" s="45" t="n">
        <v>5010</v>
      </c>
      <c r="G267" s="24" t="n">
        <v>7772</v>
      </c>
      <c r="H267" s="46" t="n">
        <v>2202670.63</v>
      </c>
      <c r="I267" s="6" t="s">
        <v>594</v>
      </c>
    </row>
    <row r="268" customFormat="false" ht="15" hidden="false" customHeight="false" outlineLevel="0" collapsed="false">
      <c r="A268" s="5" t="s">
        <v>633</v>
      </c>
      <c r="B268" s="5" t="s">
        <v>343</v>
      </c>
      <c r="C268" s="5" t="s">
        <v>586</v>
      </c>
      <c r="D268" s="5" t="s">
        <v>587</v>
      </c>
      <c r="E268" s="5" t="s">
        <v>600</v>
      </c>
      <c r="F268" s="45" t="n">
        <v>8077.1</v>
      </c>
      <c r="G268" s="24" t="n">
        <v>5982</v>
      </c>
      <c r="H268" s="46" t="n">
        <v>895650.28</v>
      </c>
      <c r="I268" s="6" t="s">
        <v>595</v>
      </c>
    </row>
    <row r="269" customFormat="false" ht="15" hidden="false" customHeight="false" outlineLevel="0" collapsed="false">
      <c r="A269" s="5" t="s">
        <v>633</v>
      </c>
      <c r="B269" s="5" t="s">
        <v>356</v>
      </c>
      <c r="C269" s="5" t="s">
        <v>586</v>
      </c>
      <c r="D269" s="5" t="s">
        <v>587</v>
      </c>
      <c r="E269" s="5" t="s">
        <v>600</v>
      </c>
      <c r="F269" s="45" t="n">
        <v>4477</v>
      </c>
      <c r="G269" s="24" t="n">
        <v>5400</v>
      </c>
      <c r="H269" s="46" t="n">
        <v>820137.75</v>
      </c>
      <c r="I269" s="6" t="s">
        <v>596</v>
      </c>
    </row>
    <row r="270" customFormat="false" ht="15" hidden="false" customHeight="false" outlineLevel="0" collapsed="false">
      <c r="A270" s="5" t="s">
        <v>633</v>
      </c>
      <c r="B270" s="5" t="s">
        <v>369</v>
      </c>
      <c r="C270" s="5" t="s">
        <v>586</v>
      </c>
      <c r="D270" s="5" t="s">
        <v>587</v>
      </c>
      <c r="E270" s="5" t="s">
        <v>600</v>
      </c>
      <c r="F270" s="45" t="n">
        <v>1121.8</v>
      </c>
      <c r="G270" s="24" t="n">
        <v>846</v>
      </c>
      <c r="H270" s="46" t="n">
        <v>235803.63</v>
      </c>
      <c r="I270" s="6" t="s">
        <v>597</v>
      </c>
    </row>
    <row r="271" customFormat="false" ht="15" hidden="false" customHeight="false" outlineLevel="0" collapsed="false">
      <c r="A271" s="5" t="s">
        <v>634</v>
      </c>
      <c r="B271" s="5" t="s">
        <v>265</v>
      </c>
      <c r="C271" s="5" t="s">
        <v>586</v>
      </c>
      <c r="D271" s="5" t="s">
        <v>587</v>
      </c>
      <c r="E271" s="5" t="s">
        <v>600</v>
      </c>
      <c r="F271" s="45" t="n">
        <v>41</v>
      </c>
      <c r="G271" s="24" t="n">
        <v>18</v>
      </c>
      <c r="H271" s="46" t="n">
        <v>5446.65</v>
      </c>
      <c r="I271" s="6" t="s">
        <v>589</v>
      </c>
    </row>
    <row r="272" customFormat="false" ht="15" hidden="false" customHeight="false" outlineLevel="0" collapsed="false">
      <c r="A272" s="5" t="s">
        <v>634</v>
      </c>
      <c r="B272" s="5" t="s">
        <v>278</v>
      </c>
      <c r="C272" s="5" t="s">
        <v>586</v>
      </c>
      <c r="D272" s="5" t="s">
        <v>587</v>
      </c>
      <c r="E272" s="5" t="s">
        <v>600</v>
      </c>
      <c r="F272" s="45" t="n">
        <v>1135.9</v>
      </c>
      <c r="G272" s="24" t="n">
        <v>267</v>
      </c>
      <c r="H272" s="46" t="n">
        <v>23783.63</v>
      </c>
      <c r="I272" s="6" t="s">
        <v>590</v>
      </c>
    </row>
    <row r="273" customFormat="false" ht="15" hidden="false" customHeight="false" outlineLevel="0" collapsed="false">
      <c r="A273" s="5" t="s">
        <v>634</v>
      </c>
      <c r="B273" s="5" t="s">
        <v>291</v>
      </c>
      <c r="C273" s="5" t="s">
        <v>586</v>
      </c>
      <c r="D273" s="5" t="s">
        <v>587</v>
      </c>
      <c r="E273" s="5" t="s">
        <v>600</v>
      </c>
      <c r="F273" s="45" t="n">
        <v>2959.6</v>
      </c>
      <c r="G273" s="24" t="n">
        <v>449</v>
      </c>
      <c r="H273" s="46" t="n">
        <v>52087.2</v>
      </c>
      <c r="I273" s="6" t="s">
        <v>591</v>
      </c>
    </row>
    <row r="274" customFormat="false" ht="15" hidden="false" customHeight="false" outlineLevel="0" collapsed="false">
      <c r="A274" s="5" t="s">
        <v>634</v>
      </c>
      <c r="B274" s="5" t="s">
        <v>304</v>
      </c>
      <c r="C274" s="5" t="s">
        <v>586</v>
      </c>
      <c r="D274" s="5" t="s">
        <v>587</v>
      </c>
      <c r="E274" s="5" t="s">
        <v>600</v>
      </c>
      <c r="F274" s="45" t="n">
        <v>2734.8</v>
      </c>
      <c r="G274" s="24" t="n">
        <v>433</v>
      </c>
      <c r="H274" s="46" t="n">
        <v>35821.86</v>
      </c>
      <c r="I274" s="6" t="s">
        <v>592</v>
      </c>
    </row>
    <row r="275" customFormat="false" ht="15" hidden="false" customHeight="false" outlineLevel="0" collapsed="false">
      <c r="A275" s="5" t="s">
        <v>634</v>
      </c>
      <c r="B275" s="5" t="s">
        <v>317</v>
      </c>
      <c r="C275" s="5" t="s">
        <v>586</v>
      </c>
      <c r="D275" s="5" t="s">
        <v>587</v>
      </c>
      <c r="E275" s="5" t="s">
        <v>600</v>
      </c>
      <c r="F275" s="45" t="n">
        <v>841.9</v>
      </c>
      <c r="G275" s="24" t="n">
        <v>304</v>
      </c>
      <c r="H275" s="46" t="n">
        <v>19614.72</v>
      </c>
      <c r="I275" s="6" t="s">
        <v>593</v>
      </c>
    </row>
    <row r="276" customFormat="false" ht="15" hidden="false" customHeight="false" outlineLevel="0" collapsed="false">
      <c r="A276" s="5" t="s">
        <v>634</v>
      </c>
      <c r="B276" s="5" t="s">
        <v>330</v>
      </c>
      <c r="C276" s="5" t="s">
        <v>586</v>
      </c>
      <c r="D276" s="5" t="s">
        <v>587</v>
      </c>
      <c r="E276" s="5" t="s">
        <v>600</v>
      </c>
      <c r="F276" s="45" t="n">
        <v>1885.1</v>
      </c>
      <c r="G276" s="24" t="n">
        <v>388</v>
      </c>
      <c r="H276" s="46" t="n">
        <v>39129.72</v>
      </c>
      <c r="I276" s="6" t="s">
        <v>594</v>
      </c>
    </row>
    <row r="277" customFormat="false" ht="15" hidden="false" customHeight="false" outlineLevel="0" collapsed="false">
      <c r="A277" s="5" t="s">
        <v>634</v>
      </c>
      <c r="B277" s="5" t="s">
        <v>343</v>
      </c>
      <c r="C277" s="5" t="s">
        <v>586</v>
      </c>
      <c r="D277" s="5" t="s">
        <v>587</v>
      </c>
      <c r="E277" s="5" t="s">
        <v>600</v>
      </c>
      <c r="F277" s="45" t="n">
        <v>579.5</v>
      </c>
      <c r="G277" s="24" t="n">
        <v>445</v>
      </c>
      <c r="H277" s="46" t="n">
        <v>11319.54</v>
      </c>
      <c r="I277" s="6" t="s">
        <v>595</v>
      </c>
    </row>
    <row r="278" customFormat="false" ht="15" hidden="false" customHeight="false" outlineLevel="0" collapsed="false">
      <c r="A278" s="5" t="s">
        <v>634</v>
      </c>
      <c r="B278" s="5" t="s">
        <v>356</v>
      </c>
      <c r="C278" s="5" t="s">
        <v>586</v>
      </c>
      <c r="D278" s="5" t="s">
        <v>587</v>
      </c>
      <c r="E278" s="5" t="s">
        <v>600</v>
      </c>
      <c r="F278" s="45" t="n">
        <v>130.4</v>
      </c>
      <c r="G278" s="24" t="n">
        <v>343</v>
      </c>
      <c r="H278" s="46" t="n">
        <v>52026.54</v>
      </c>
      <c r="I278" s="6" t="s">
        <v>596</v>
      </c>
    </row>
    <row r="279" customFormat="false" ht="15" hidden="false" customHeight="false" outlineLevel="0" collapsed="false">
      <c r="A279" s="5" t="s">
        <v>634</v>
      </c>
      <c r="B279" s="5" t="s">
        <v>369</v>
      </c>
      <c r="C279" s="5" t="s">
        <v>586</v>
      </c>
      <c r="D279" s="5" t="s">
        <v>587</v>
      </c>
      <c r="E279" s="5" t="s">
        <v>600</v>
      </c>
      <c r="F279" s="45" t="n">
        <v>1.6</v>
      </c>
      <c r="G279" s="24" t="n">
        <v>29</v>
      </c>
      <c r="H279" s="46" t="n">
        <v>60.76</v>
      </c>
      <c r="I279" s="6" t="s">
        <v>597</v>
      </c>
    </row>
    <row r="280" customFormat="false" ht="15" hidden="false" customHeight="false" outlineLevel="0" collapsed="false">
      <c r="A280" s="5" t="s">
        <v>635</v>
      </c>
      <c r="B280" s="5" t="s">
        <v>265</v>
      </c>
      <c r="C280" s="5" t="s">
        <v>586</v>
      </c>
      <c r="D280" s="5" t="s">
        <v>587</v>
      </c>
      <c r="E280" s="5" t="s">
        <v>588</v>
      </c>
      <c r="F280" s="45" t="n">
        <v>3368</v>
      </c>
      <c r="G280" s="24" t="n">
        <v>3433</v>
      </c>
      <c r="H280" s="46" t="n">
        <v>481104.71</v>
      </c>
      <c r="I280" s="6" t="s">
        <v>589</v>
      </c>
    </row>
    <row r="281" customFormat="false" ht="15" hidden="false" customHeight="false" outlineLevel="0" collapsed="false">
      <c r="A281" s="5" t="s">
        <v>635</v>
      </c>
      <c r="B281" s="5" t="s">
        <v>278</v>
      </c>
      <c r="C281" s="5" t="s">
        <v>586</v>
      </c>
      <c r="D281" s="5" t="s">
        <v>587</v>
      </c>
      <c r="E281" s="5" t="s">
        <v>588</v>
      </c>
      <c r="F281" s="45" t="n">
        <v>3004.1</v>
      </c>
      <c r="G281" s="24" t="n">
        <v>3161</v>
      </c>
      <c r="H281" s="46" t="n">
        <v>261508.41</v>
      </c>
      <c r="I281" s="6" t="s">
        <v>590</v>
      </c>
    </row>
    <row r="282" customFormat="false" ht="15" hidden="false" customHeight="false" outlineLevel="0" collapsed="false">
      <c r="A282" s="5" t="s">
        <v>635</v>
      </c>
      <c r="B282" s="5" t="s">
        <v>291</v>
      </c>
      <c r="C282" s="5" t="s">
        <v>586</v>
      </c>
      <c r="D282" s="5" t="s">
        <v>587</v>
      </c>
      <c r="E282" s="5" t="s">
        <v>588</v>
      </c>
      <c r="F282" s="45" t="n">
        <v>2424.1</v>
      </c>
      <c r="G282" s="24" t="n">
        <v>2527</v>
      </c>
      <c r="H282" s="46" t="n">
        <v>128073.64</v>
      </c>
      <c r="I282" s="6" t="s">
        <v>591</v>
      </c>
    </row>
    <row r="283" customFormat="false" ht="15" hidden="false" customHeight="false" outlineLevel="0" collapsed="false">
      <c r="A283" s="5" t="s">
        <v>635</v>
      </c>
      <c r="B283" s="5" t="s">
        <v>304</v>
      </c>
      <c r="C283" s="5" t="s">
        <v>586</v>
      </c>
      <c r="D283" s="5" t="s">
        <v>587</v>
      </c>
      <c r="E283" s="5" t="s">
        <v>588</v>
      </c>
      <c r="F283" s="45" t="n">
        <v>2456.9</v>
      </c>
      <c r="G283" s="24" t="n">
        <v>2539</v>
      </c>
      <c r="H283" s="46" t="n">
        <v>139559.2</v>
      </c>
      <c r="I283" s="6" t="s">
        <v>592</v>
      </c>
    </row>
    <row r="284" customFormat="false" ht="15" hidden="false" customHeight="false" outlineLevel="0" collapsed="false">
      <c r="A284" s="5" t="s">
        <v>635</v>
      </c>
      <c r="B284" s="5" t="s">
        <v>317</v>
      </c>
      <c r="C284" s="5" t="s">
        <v>586</v>
      </c>
      <c r="D284" s="5" t="s">
        <v>587</v>
      </c>
      <c r="E284" s="5" t="s">
        <v>588</v>
      </c>
      <c r="F284" s="45" t="n">
        <v>1848.2</v>
      </c>
      <c r="G284" s="24" t="n">
        <v>2387</v>
      </c>
      <c r="H284" s="46" t="n">
        <v>130298.95</v>
      </c>
      <c r="I284" s="6" t="s">
        <v>593</v>
      </c>
    </row>
    <row r="285" customFormat="false" ht="15" hidden="false" customHeight="false" outlineLevel="0" collapsed="false">
      <c r="A285" s="5" t="s">
        <v>635</v>
      </c>
      <c r="B285" s="5" t="s">
        <v>330</v>
      </c>
      <c r="C285" s="5" t="s">
        <v>586</v>
      </c>
      <c r="D285" s="5" t="s">
        <v>587</v>
      </c>
      <c r="E285" s="5" t="s">
        <v>588</v>
      </c>
      <c r="F285" s="45" t="n">
        <v>1792.6</v>
      </c>
      <c r="G285" s="24" t="n">
        <v>2668</v>
      </c>
      <c r="H285" s="46" t="n">
        <v>456366.11</v>
      </c>
      <c r="I285" s="6" t="s">
        <v>594</v>
      </c>
    </row>
    <row r="286" customFormat="false" ht="15" hidden="false" customHeight="false" outlineLevel="0" collapsed="false">
      <c r="A286" s="5" t="s">
        <v>635</v>
      </c>
      <c r="B286" s="5" t="s">
        <v>343</v>
      </c>
      <c r="C286" s="5" t="s">
        <v>586</v>
      </c>
      <c r="D286" s="5" t="s">
        <v>587</v>
      </c>
      <c r="E286" s="5" t="s">
        <v>588</v>
      </c>
      <c r="F286" s="45" t="n">
        <v>2686.4</v>
      </c>
      <c r="G286" s="24" t="n">
        <v>1815</v>
      </c>
      <c r="H286" s="46" t="n">
        <v>220429.73</v>
      </c>
      <c r="I286" s="6" t="s">
        <v>595</v>
      </c>
    </row>
    <row r="287" customFormat="false" ht="15" hidden="false" customHeight="false" outlineLevel="0" collapsed="false">
      <c r="A287" s="5" t="s">
        <v>635</v>
      </c>
      <c r="B287" s="5" t="s">
        <v>356</v>
      </c>
      <c r="C287" s="5" t="s">
        <v>586</v>
      </c>
      <c r="D287" s="5" t="s">
        <v>587</v>
      </c>
      <c r="E287" s="5" t="s">
        <v>588</v>
      </c>
      <c r="F287" s="45" t="n">
        <v>4784.9</v>
      </c>
      <c r="G287" s="24" t="n">
        <v>2224</v>
      </c>
      <c r="H287" s="46" t="n">
        <v>185438.94</v>
      </c>
      <c r="I287" s="6" t="s">
        <v>596</v>
      </c>
    </row>
    <row r="288" customFormat="false" ht="15" hidden="false" customHeight="false" outlineLevel="0" collapsed="false">
      <c r="A288" s="5" t="s">
        <v>635</v>
      </c>
      <c r="B288" s="5" t="s">
        <v>369</v>
      </c>
      <c r="C288" s="5" t="s">
        <v>586</v>
      </c>
      <c r="D288" s="5" t="s">
        <v>587</v>
      </c>
      <c r="E288" s="5" t="s">
        <v>588</v>
      </c>
      <c r="F288" s="45" t="n">
        <v>804.8</v>
      </c>
      <c r="G288" s="24" t="n">
        <v>344</v>
      </c>
      <c r="H288" s="46" t="n">
        <v>26532.33</v>
      </c>
      <c r="I288" s="6" t="s">
        <v>597</v>
      </c>
    </row>
    <row r="289" customFormat="false" ht="15" hidden="false" customHeight="false" outlineLevel="0" collapsed="false">
      <c r="A289" s="5" t="s">
        <v>636</v>
      </c>
      <c r="B289" s="5" t="s">
        <v>265</v>
      </c>
      <c r="C289" s="5" t="s">
        <v>586</v>
      </c>
      <c r="D289" s="5" t="s">
        <v>587</v>
      </c>
      <c r="E289" s="5" t="s">
        <v>637</v>
      </c>
      <c r="F289" s="45" t="n">
        <v>94.1</v>
      </c>
      <c r="G289" s="24" t="n">
        <v>642</v>
      </c>
      <c r="H289" s="46" t="n">
        <v>10771.6</v>
      </c>
      <c r="I289" s="6" t="s">
        <v>589</v>
      </c>
    </row>
    <row r="290" customFormat="false" ht="15" hidden="false" customHeight="false" outlineLevel="0" collapsed="false">
      <c r="A290" s="5" t="s">
        <v>636</v>
      </c>
      <c r="B290" s="5" t="s">
        <v>278</v>
      </c>
      <c r="C290" s="5" t="s">
        <v>586</v>
      </c>
      <c r="D290" s="5" t="s">
        <v>587</v>
      </c>
      <c r="E290" s="5" t="s">
        <v>637</v>
      </c>
      <c r="F290" s="45" t="n">
        <v>44.2</v>
      </c>
      <c r="G290" s="24" t="n">
        <v>372</v>
      </c>
      <c r="H290" s="46" t="n">
        <v>9437.76</v>
      </c>
      <c r="I290" s="6" t="s">
        <v>590</v>
      </c>
    </row>
    <row r="291" customFormat="false" ht="15" hidden="false" customHeight="false" outlineLevel="0" collapsed="false">
      <c r="A291" s="5" t="s">
        <v>636</v>
      </c>
      <c r="B291" s="5" t="s">
        <v>291</v>
      </c>
      <c r="C291" s="5" t="s">
        <v>586</v>
      </c>
      <c r="D291" s="5" t="s">
        <v>587</v>
      </c>
      <c r="E291" s="5" t="s">
        <v>637</v>
      </c>
      <c r="F291" s="45" t="n">
        <v>17.6</v>
      </c>
      <c r="G291" s="24" t="n">
        <v>149</v>
      </c>
      <c r="H291" s="46" t="n">
        <v>1965.78</v>
      </c>
      <c r="I291" s="6" t="s">
        <v>591</v>
      </c>
    </row>
    <row r="292" customFormat="false" ht="15" hidden="false" customHeight="false" outlineLevel="0" collapsed="false">
      <c r="A292" s="5" t="s">
        <v>636</v>
      </c>
      <c r="B292" s="5" t="s">
        <v>304</v>
      </c>
      <c r="C292" s="5" t="s">
        <v>586</v>
      </c>
      <c r="D292" s="5" t="s">
        <v>587</v>
      </c>
      <c r="E292" s="5" t="s">
        <v>637</v>
      </c>
      <c r="F292" s="45" t="n">
        <v>8.6</v>
      </c>
      <c r="G292" s="24" t="n">
        <v>65</v>
      </c>
      <c r="H292" s="46" t="n">
        <v>675.31</v>
      </c>
      <c r="I292" s="6" t="s">
        <v>592</v>
      </c>
    </row>
    <row r="293" customFormat="false" ht="15" hidden="false" customHeight="false" outlineLevel="0" collapsed="false">
      <c r="A293" s="5" t="s">
        <v>636</v>
      </c>
      <c r="B293" s="5" t="s">
        <v>317</v>
      </c>
      <c r="C293" s="5" t="s">
        <v>586</v>
      </c>
      <c r="D293" s="5" t="s">
        <v>587</v>
      </c>
      <c r="E293" s="5" t="s">
        <v>637</v>
      </c>
      <c r="F293" s="45" t="n">
        <v>2.4</v>
      </c>
      <c r="G293" s="24" t="n">
        <v>23</v>
      </c>
      <c r="H293" s="46" t="n">
        <v>140.15</v>
      </c>
      <c r="I293" s="6" t="s">
        <v>593</v>
      </c>
    </row>
    <row r="294" customFormat="false" ht="15" hidden="false" customHeight="false" outlineLevel="0" collapsed="false">
      <c r="A294" s="5" t="s">
        <v>566</v>
      </c>
      <c r="B294" s="5" t="s">
        <v>265</v>
      </c>
      <c r="C294" s="5" t="s">
        <v>586</v>
      </c>
      <c r="D294" s="5" t="s">
        <v>599</v>
      </c>
      <c r="E294" s="5" t="s">
        <v>601</v>
      </c>
      <c r="F294" s="45" t="n">
        <v>14840.7</v>
      </c>
      <c r="G294" s="24" t="n">
        <v>7722</v>
      </c>
      <c r="H294" s="46" t="n">
        <v>1690779.36</v>
      </c>
      <c r="I294" s="6" t="s">
        <v>589</v>
      </c>
    </row>
    <row r="295" customFormat="false" ht="15" hidden="false" customHeight="false" outlineLevel="0" collapsed="false">
      <c r="A295" s="5" t="s">
        <v>566</v>
      </c>
      <c r="B295" s="5" t="s">
        <v>278</v>
      </c>
      <c r="C295" s="5" t="s">
        <v>586</v>
      </c>
      <c r="D295" s="5" t="s">
        <v>599</v>
      </c>
      <c r="E295" s="5" t="s">
        <v>601</v>
      </c>
      <c r="F295" s="45" t="n">
        <v>15960.2</v>
      </c>
      <c r="G295" s="24" t="n">
        <v>7951</v>
      </c>
      <c r="H295" s="46" t="n">
        <v>891625.01</v>
      </c>
      <c r="I295" s="6" t="s">
        <v>590</v>
      </c>
    </row>
    <row r="296" customFormat="false" ht="15" hidden="false" customHeight="false" outlineLevel="0" collapsed="false">
      <c r="A296" s="5" t="s">
        <v>566</v>
      </c>
      <c r="B296" s="5" t="s">
        <v>291</v>
      </c>
      <c r="C296" s="5" t="s">
        <v>586</v>
      </c>
      <c r="D296" s="5" t="s">
        <v>599</v>
      </c>
      <c r="E296" s="5" t="s">
        <v>601</v>
      </c>
      <c r="F296" s="45" t="n">
        <v>13921.3</v>
      </c>
      <c r="G296" s="24" t="n">
        <v>7008</v>
      </c>
      <c r="H296" s="46" t="n">
        <v>460073.66</v>
      </c>
      <c r="I296" s="6" t="s">
        <v>591</v>
      </c>
    </row>
    <row r="297" customFormat="false" ht="15" hidden="false" customHeight="false" outlineLevel="0" collapsed="false">
      <c r="A297" s="5" t="s">
        <v>566</v>
      </c>
      <c r="B297" s="5" t="s">
        <v>304</v>
      </c>
      <c r="C297" s="5" t="s">
        <v>586</v>
      </c>
      <c r="D297" s="5" t="s">
        <v>599</v>
      </c>
      <c r="E297" s="5" t="s">
        <v>601</v>
      </c>
      <c r="F297" s="45" t="n">
        <v>15512.9</v>
      </c>
      <c r="G297" s="24" t="n">
        <v>7874</v>
      </c>
      <c r="H297" s="46" t="n">
        <v>1122139.1</v>
      </c>
      <c r="I297" s="6" t="s">
        <v>592</v>
      </c>
    </row>
    <row r="298" customFormat="false" ht="15" hidden="false" customHeight="false" outlineLevel="0" collapsed="false">
      <c r="A298" s="5" t="s">
        <v>566</v>
      </c>
      <c r="B298" s="5" t="s">
        <v>317</v>
      </c>
      <c r="C298" s="5" t="s">
        <v>586</v>
      </c>
      <c r="D298" s="5" t="s">
        <v>599</v>
      </c>
      <c r="E298" s="5" t="s">
        <v>601</v>
      </c>
      <c r="F298" s="45" t="n">
        <v>17395.7</v>
      </c>
      <c r="G298" s="24" t="n">
        <v>8166</v>
      </c>
      <c r="H298" s="46" t="n">
        <v>432971.13</v>
      </c>
      <c r="I298" s="6" t="s">
        <v>593</v>
      </c>
    </row>
    <row r="299" customFormat="false" ht="15" hidden="false" customHeight="false" outlineLevel="0" collapsed="false">
      <c r="A299" s="5" t="s">
        <v>566</v>
      </c>
      <c r="B299" s="5" t="s">
        <v>330</v>
      </c>
      <c r="C299" s="5" t="s">
        <v>586</v>
      </c>
      <c r="D299" s="5" t="s">
        <v>599</v>
      </c>
      <c r="E299" s="5" t="s">
        <v>601</v>
      </c>
      <c r="F299" s="45" t="n">
        <v>11725.6</v>
      </c>
      <c r="G299" s="24" t="n">
        <v>6853</v>
      </c>
      <c r="H299" s="46" t="n">
        <v>455677.48</v>
      </c>
      <c r="I299" s="6" t="s">
        <v>594</v>
      </c>
    </row>
    <row r="300" customFormat="false" ht="15" hidden="false" customHeight="false" outlineLevel="0" collapsed="false">
      <c r="A300" s="5" t="s">
        <v>566</v>
      </c>
      <c r="B300" s="5" t="s">
        <v>343</v>
      </c>
      <c r="C300" s="5" t="s">
        <v>586</v>
      </c>
      <c r="D300" s="5" t="s">
        <v>599</v>
      </c>
      <c r="E300" s="5" t="s">
        <v>601</v>
      </c>
      <c r="F300" s="45" t="n">
        <v>10666.1</v>
      </c>
      <c r="G300" s="24" t="n">
        <v>6438</v>
      </c>
      <c r="H300" s="46" t="n">
        <v>409009.13</v>
      </c>
      <c r="I300" s="6" t="s">
        <v>595</v>
      </c>
    </row>
    <row r="301" customFormat="false" ht="15" hidden="false" customHeight="false" outlineLevel="0" collapsed="false">
      <c r="A301" s="5" t="s">
        <v>566</v>
      </c>
      <c r="B301" s="5" t="s">
        <v>356</v>
      </c>
      <c r="C301" s="5" t="s">
        <v>586</v>
      </c>
      <c r="D301" s="5" t="s">
        <v>599</v>
      </c>
      <c r="E301" s="5" t="s">
        <v>601</v>
      </c>
      <c r="F301" s="45" t="n">
        <v>8066.4</v>
      </c>
      <c r="G301" s="24" t="n">
        <v>4956</v>
      </c>
      <c r="H301" s="46" t="n">
        <v>300064.23</v>
      </c>
      <c r="I301" s="6" t="s">
        <v>596</v>
      </c>
    </row>
    <row r="302" customFormat="false" ht="15" hidden="false" customHeight="false" outlineLevel="0" collapsed="false">
      <c r="A302" s="5" t="s">
        <v>566</v>
      </c>
      <c r="B302" s="5" t="s">
        <v>369</v>
      </c>
      <c r="C302" s="5" t="s">
        <v>586</v>
      </c>
      <c r="D302" s="5" t="s">
        <v>599</v>
      </c>
      <c r="E302" s="5" t="s">
        <v>601</v>
      </c>
      <c r="F302" s="45" t="n">
        <v>1939</v>
      </c>
      <c r="G302" s="24" t="n">
        <v>977</v>
      </c>
      <c r="H302" s="46" t="n">
        <v>47447.79</v>
      </c>
      <c r="I302" s="6" t="s">
        <v>597</v>
      </c>
    </row>
    <row r="303" customFormat="false" ht="15" hidden="false" customHeight="false" outlineLevel="0" collapsed="false">
      <c r="A303" s="5" t="s">
        <v>638</v>
      </c>
      <c r="B303" s="5" t="s">
        <v>304</v>
      </c>
      <c r="C303" s="5" t="s">
        <v>586</v>
      </c>
      <c r="D303" s="5" t="s">
        <v>587</v>
      </c>
      <c r="E303" s="5" t="s">
        <v>637</v>
      </c>
      <c r="F303" s="45" t="n">
        <v>69.8</v>
      </c>
      <c r="G303" s="24" t="n">
        <v>85</v>
      </c>
      <c r="H303" s="46" t="n">
        <v>2358.15</v>
      </c>
      <c r="I303" s="6" t="s">
        <v>592</v>
      </c>
    </row>
    <row r="304" customFormat="false" ht="15" hidden="false" customHeight="false" outlineLevel="0" collapsed="false">
      <c r="A304" s="5" t="s">
        <v>638</v>
      </c>
      <c r="B304" s="5" t="s">
        <v>317</v>
      </c>
      <c r="C304" s="5" t="s">
        <v>586</v>
      </c>
      <c r="D304" s="5" t="s">
        <v>587</v>
      </c>
      <c r="E304" s="5" t="s">
        <v>637</v>
      </c>
      <c r="F304" s="45" t="n">
        <v>52.9</v>
      </c>
      <c r="G304" s="24" t="n">
        <v>323</v>
      </c>
      <c r="H304" s="46" t="n">
        <v>3684.51</v>
      </c>
      <c r="I304" s="6" t="s">
        <v>593</v>
      </c>
    </row>
    <row r="305" customFormat="false" ht="15" hidden="false" customHeight="false" outlineLevel="0" collapsed="false">
      <c r="A305" s="5" t="s">
        <v>638</v>
      </c>
      <c r="B305" s="5" t="s">
        <v>330</v>
      </c>
      <c r="C305" s="5" t="s">
        <v>586</v>
      </c>
      <c r="D305" s="5" t="s">
        <v>587</v>
      </c>
      <c r="E305" s="5" t="s">
        <v>637</v>
      </c>
      <c r="F305" s="45" t="n">
        <v>38</v>
      </c>
      <c r="G305" s="24" t="n">
        <v>295</v>
      </c>
      <c r="H305" s="46" t="n">
        <v>4257.24</v>
      </c>
      <c r="I305" s="6" t="s">
        <v>594</v>
      </c>
    </row>
    <row r="306" customFormat="false" ht="15" hidden="false" customHeight="false" outlineLevel="0" collapsed="false">
      <c r="A306" s="5" t="s">
        <v>638</v>
      </c>
      <c r="B306" s="5" t="s">
        <v>343</v>
      </c>
      <c r="C306" s="5" t="s">
        <v>586</v>
      </c>
      <c r="D306" s="5" t="s">
        <v>587</v>
      </c>
      <c r="E306" s="5" t="s">
        <v>637</v>
      </c>
      <c r="F306" s="45" t="n">
        <v>49.2</v>
      </c>
      <c r="G306" s="24" t="n">
        <v>171</v>
      </c>
      <c r="H306" s="46" t="n">
        <v>1869.76</v>
      </c>
      <c r="I306" s="6" t="s">
        <v>595</v>
      </c>
    </row>
    <row r="307" customFormat="false" ht="15" hidden="false" customHeight="false" outlineLevel="0" collapsed="false">
      <c r="A307" s="5" t="s">
        <v>638</v>
      </c>
      <c r="B307" s="5" t="s">
        <v>356</v>
      </c>
      <c r="C307" s="5" t="s">
        <v>586</v>
      </c>
      <c r="D307" s="5" t="s">
        <v>587</v>
      </c>
      <c r="E307" s="5" t="s">
        <v>637</v>
      </c>
      <c r="F307" s="45" t="n">
        <v>29.9</v>
      </c>
      <c r="G307" s="24" t="n">
        <v>284</v>
      </c>
      <c r="H307" s="46" t="n">
        <v>121715.89</v>
      </c>
      <c r="I307" s="6" t="s">
        <v>596</v>
      </c>
    </row>
    <row r="308" customFormat="false" ht="15" hidden="false" customHeight="false" outlineLevel="0" collapsed="false">
      <c r="A308" s="5" t="s">
        <v>638</v>
      </c>
      <c r="B308" s="5" t="s">
        <v>369</v>
      </c>
      <c r="C308" s="5" t="s">
        <v>586</v>
      </c>
      <c r="D308" s="5" t="s">
        <v>587</v>
      </c>
      <c r="E308" s="5" t="s">
        <v>637</v>
      </c>
      <c r="F308" s="45" t="n">
        <v>5.9</v>
      </c>
      <c r="G308" s="24" t="n">
        <v>58</v>
      </c>
      <c r="H308" s="46" t="n">
        <v>344.43</v>
      </c>
      <c r="I308" s="6" t="s">
        <v>597</v>
      </c>
    </row>
    <row r="309" customFormat="false" ht="15" hidden="false" customHeight="false" outlineLevel="0" collapsed="false">
      <c r="A309" s="5" t="s">
        <v>639</v>
      </c>
      <c r="B309" s="5" t="s">
        <v>265</v>
      </c>
      <c r="C309" s="5" t="s">
        <v>586</v>
      </c>
      <c r="D309" s="5" t="s">
        <v>599</v>
      </c>
      <c r="E309" s="5" t="s">
        <v>601</v>
      </c>
      <c r="F309" s="45" t="n">
        <v>13</v>
      </c>
      <c r="G309" s="24" t="n">
        <v>11</v>
      </c>
      <c r="H309" s="46" t="n">
        <v>68403.63</v>
      </c>
      <c r="I309" s="6" t="s">
        <v>589</v>
      </c>
    </row>
    <row r="310" customFormat="false" ht="15" hidden="false" customHeight="false" outlineLevel="0" collapsed="false">
      <c r="A310" s="5" t="s">
        <v>538</v>
      </c>
      <c r="B310" s="5" t="s">
        <v>265</v>
      </c>
      <c r="C310" s="5" t="s">
        <v>586</v>
      </c>
      <c r="D310" s="5" t="s">
        <v>620</v>
      </c>
      <c r="E310" s="5" t="s">
        <v>640</v>
      </c>
      <c r="F310" s="45" t="n">
        <v>142565.2</v>
      </c>
      <c r="G310" s="24" t="n">
        <v>100459</v>
      </c>
      <c r="H310" s="46" t="n">
        <v>3097900.46</v>
      </c>
      <c r="I310" s="6" t="s">
        <v>589</v>
      </c>
    </row>
    <row r="311" customFormat="false" ht="15" hidden="false" customHeight="false" outlineLevel="0" collapsed="false">
      <c r="A311" s="5" t="s">
        <v>538</v>
      </c>
      <c r="B311" s="5" t="s">
        <v>278</v>
      </c>
      <c r="C311" s="5" t="s">
        <v>586</v>
      </c>
      <c r="D311" s="5" t="s">
        <v>620</v>
      </c>
      <c r="E311" s="5" t="s">
        <v>640</v>
      </c>
      <c r="F311" s="45" t="n">
        <v>123713.4</v>
      </c>
      <c r="G311" s="24" t="n">
        <v>93073</v>
      </c>
      <c r="H311" s="46" t="n">
        <v>2197305.73</v>
      </c>
      <c r="I311" s="6" t="s">
        <v>590</v>
      </c>
    </row>
    <row r="312" customFormat="false" ht="15" hidden="false" customHeight="false" outlineLevel="0" collapsed="false">
      <c r="A312" s="5" t="s">
        <v>538</v>
      </c>
      <c r="B312" s="5" t="s">
        <v>291</v>
      </c>
      <c r="C312" s="5" t="s">
        <v>586</v>
      </c>
      <c r="D312" s="5" t="s">
        <v>620</v>
      </c>
      <c r="E312" s="5" t="s">
        <v>640</v>
      </c>
      <c r="F312" s="45" t="n">
        <v>109255.9</v>
      </c>
      <c r="G312" s="24" t="n">
        <v>79309</v>
      </c>
      <c r="H312" s="46" t="n">
        <v>1485444.11</v>
      </c>
      <c r="I312" s="6" t="s">
        <v>591</v>
      </c>
    </row>
    <row r="313" customFormat="false" ht="15" hidden="false" customHeight="false" outlineLevel="0" collapsed="false">
      <c r="A313" s="5" t="s">
        <v>538</v>
      </c>
      <c r="B313" s="5" t="s">
        <v>304</v>
      </c>
      <c r="C313" s="5" t="s">
        <v>586</v>
      </c>
      <c r="D313" s="5" t="s">
        <v>620</v>
      </c>
      <c r="E313" s="5" t="s">
        <v>640</v>
      </c>
      <c r="F313" s="45" t="n">
        <v>104972.3</v>
      </c>
      <c r="G313" s="24" t="n">
        <v>78037</v>
      </c>
      <c r="H313" s="46" t="n">
        <v>1236510.89</v>
      </c>
      <c r="I313" s="6" t="s">
        <v>592</v>
      </c>
    </row>
    <row r="314" customFormat="false" ht="15" hidden="false" customHeight="false" outlineLevel="0" collapsed="false">
      <c r="A314" s="5" t="s">
        <v>538</v>
      </c>
      <c r="B314" s="5" t="s">
        <v>317</v>
      </c>
      <c r="C314" s="5" t="s">
        <v>586</v>
      </c>
      <c r="D314" s="5" t="s">
        <v>620</v>
      </c>
      <c r="E314" s="5" t="s">
        <v>640</v>
      </c>
      <c r="F314" s="45" t="n">
        <v>71298.1</v>
      </c>
      <c r="G314" s="24" t="n">
        <v>48824</v>
      </c>
      <c r="H314" s="46" t="n">
        <v>935291.61</v>
      </c>
      <c r="I314" s="6" t="s">
        <v>593</v>
      </c>
    </row>
    <row r="315" customFormat="false" ht="15" hidden="false" customHeight="false" outlineLevel="0" collapsed="false">
      <c r="A315" s="5" t="s">
        <v>538</v>
      </c>
      <c r="B315" s="5" t="s">
        <v>330</v>
      </c>
      <c r="C315" s="5" t="s">
        <v>586</v>
      </c>
      <c r="D315" s="5" t="s">
        <v>620</v>
      </c>
      <c r="E315" s="5" t="s">
        <v>640</v>
      </c>
      <c r="F315" s="45" t="n">
        <v>97174.4</v>
      </c>
      <c r="G315" s="24" t="n">
        <v>70227</v>
      </c>
      <c r="H315" s="46" t="n">
        <v>1564632.57</v>
      </c>
      <c r="I315" s="6" t="s">
        <v>594</v>
      </c>
    </row>
    <row r="316" customFormat="false" ht="15" hidden="false" customHeight="false" outlineLevel="0" collapsed="false">
      <c r="A316" s="5" t="s">
        <v>538</v>
      </c>
      <c r="B316" s="5" t="s">
        <v>343</v>
      </c>
      <c r="C316" s="5" t="s">
        <v>586</v>
      </c>
      <c r="D316" s="5" t="s">
        <v>620</v>
      </c>
      <c r="E316" s="5" t="s">
        <v>640</v>
      </c>
      <c r="F316" s="45" t="n">
        <v>111578.3</v>
      </c>
      <c r="G316" s="24" t="n">
        <v>61658</v>
      </c>
      <c r="H316" s="46" t="n">
        <v>982488.07</v>
      </c>
      <c r="I316" s="6" t="s">
        <v>595</v>
      </c>
    </row>
    <row r="317" customFormat="false" ht="15" hidden="false" customHeight="false" outlineLevel="0" collapsed="false">
      <c r="A317" s="5" t="s">
        <v>538</v>
      </c>
      <c r="B317" s="5" t="s">
        <v>356</v>
      </c>
      <c r="C317" s="5" t="s">
        <v>586</v>
      </c>
      <c r="D317" s="5" t="s">
        <v>620</v>
      </c>
      <c r="E317" s="5" t="s">
        <v>640</v>
      </c>
      <c r="F317" s="45" t="n">
        <v>103214.7</v>
      </c>
      <c r="G317" s="24" t="n">
        <v>75002</v>
      </c>
      <c r="H317" s="46" t="n">
        <v>1289818.14</v>
      </c>
      <c r="I317" s="6" t="s">
        <v>596</v>
      </c>
    </row>
    <row r="318" customFormat="false" ht="15" hidden="false" customHeight="false" outlineLevel="0" collapsed="false">
      <c r="A318" s="5" t="s">
        <v>538</v>
      </c>
      <c r="B318" s="5" t="s">
        <v>369</v>
      </c>
      <c r="C318" s="5" t="s">
        <v>586</v>
      </c>
      <c r="D318" s="5" t="s">
        <v>620</v>
      </c>
      <c r="E318" s="5" t="s">
        <v>640</v>
      </c>
      <c r="F318" s="45" t="n">
        <v>19257.6</v>
      </c>
      <c r="G318" s="24" t="n">
        <v>14946</v>
      </c>
      <c r="H318" s="46" t="n">
        <v>444245.78</v>
      </c>
      <c r="I318" s="6" t="s">
        <v>597</v>
      </c>
    </row>
    <row r="319" customFormat="false" ht="15" hidden="false" customHeight="false" outlineLevel="0" collapsed="false">
      <c r="A319" s="5" t="s">
        <v>641</v>
      </c>
      <c r="B319" s="5" t="s">
        <v>265</v>
      </c>
      <c r="C319" s="5" t="s">
        <v>586</v>
      </c>
      <c r="D319" s="5" t="s">
        <v>620</v>
      </c>
      <c r="E319" s="5" t="s">
        <v>640</v>
      </c>
      <c r="F319" s="45" t="n">
        <v>67175.2</v>
      </c>
      <c r="G319" s="24" t="n">
        <v>45811</v>
      </c>
      <c r="H319" s="46" t="n">
        <v>1916960.16</v>
      </c>
      <c r="I319" s="6" t="s">
        <v>589</v>
      </c>
    </row>
    <row r="320" customFormat="false" ht="15" hidden="false" customHeight="false" outlineLevel="0" collapsed="false">
      <c r="A320" s="5" t="s">
        <v>641</v>
      </c>
      <c r="B320" s="5" t="s">
        <v>278</v>
      </c>
      <c r="C320" s="5" t="s">
        <v>586</v>
      </c>
      <c r="D320" s="5" t="s">
        <v>620</v>
      </c>
      <c r="E320" s="5" t="s">
        <v>640</v>
      </c>
      <c r="F320" s="45" t="n">
        <v>59319.7</v>
      </c>
      <c r="G320" s="24" t="n">
        <v>44108</v>
      </c>
      <c r="H320" s="46" t="n">
        <v>1031631.46</v>
      </c>
      <c r="I320" s="6" t="s">
        <v>590</v>
      </c>
    </row>
    <row r="321" customFormat="false" ht="15" hidden="false" customHeight="false" outlineLevel="0" collapsed="false">
      <c r="A321" s="5" t="s">
        <v>641</v>
      </c>
      <c r="B321" s="5" t="s">
        <v>291</v>
      </c>
      <c r="C321" s="5" t="s">
        <v>586</v>
      </c>
      <c r="D321" s="5" t="s">
        <v>620</v>
      </c>
      <c r="E321" s="5" t="s">
        <v>640</v>
      </c>
      <c r="F321" s="45" t="n">
        <v>47888.6</v>
      </c>
      <c r="G321" s="24" t="n">
        <v>35721</v>
      </c>
      <c r="H321" s="46" t="n">
        <v>834355.68</v>
      </c>
      <c r="I321" s="6" t="s">
        <v>591</v>
      </c>
    </row>
    <row r="322" customFormat="false" ht="15" hidden="false" customHeight="false" outlineLevel="0" collapsed="false">
      <c r="A322" s="5" t="s">
        <v>641</v>
      </c>
      <c r="B322" s="5" t="s">
        <v>304</v>
      </c>
      <c r="C322" s="5" t="s">
        <v>586</v>
      </c>
      <c r="D322" s="5" t="s">
        <v>620</v>
      </c>
      <c r="E322" s="5" t="s">
        <v>640</v>
      </c>
      <c r="F322" s="45" t="n">
        <v>57532.2</v>
      </c>
      <c r="G322" s="24" t="n">
        <v>40364</v>
      </c>
      <c r="H322" s="46" t="n">
        <v>961803.78</v>
      </c>
      <c r="I322" s="6" t="s">
        <v>592</v>
      </c>
    </row>
    <row r="323" customFormat="false" ht="15" hidden="false" customHeight="false" outlineLevel="0" collapsed="false">
      <c r="A323" s="5" t="s">
        <v>641</v>
      </c>
      <c r="B323" s="5" t="s">
        <v>317</v>
      </c>
      <c r="C323" s="5" t="s">
        <v>586</v>
      </c>
      <c r="D323" s="5" t="s">
        <v>620</v>
      </c>
      <c r="E323" s="5" t="s">
        <v>640</v>
      </c>
      <c r="F323" s="45" t="n">
        <v>38289.8</v>
      </c>
      <c r="G323" s="24" t="n">
        <v>27125</v>
      </c>
      <c r="H323" s="46" t="n">
        <v>701224.06</v>
      </c>
      <c r="I323" s="6" t="s">
        <v>593</v>
      </c>
    </row>
    <row r="324" customFormat="false" ht="15" hidden="false" customHeight="false" outlineLevel="0" collapsed="false">
      <c r="A324" s="5" t="s">
        <v>641</v>
      </c>
      <c r="B324" s="5" t="s">
        <v>330</v>
      </c>
      <c r="C324" s="5" t="s">
        <v>586</v>
      </c>
      <c r="D324" s="5" t="s">
        <v>620</v>
      </c>
      <c r="E324" s="5" t="s">
        <v>640</v>
      </c>
      <c r="F324" s="45" t="n">
        <v>41279.8</v>
      </c>
      <c r="G324" s="24" t="n">
        <v>25978</v>
      </c>
      <c r="H324" s="46" t="n">
        <v>779483.72</v>
      </c>
      <c r="I324" s="6" t="s">
        <v>594</v>
      </c>
    </row>
    <row r="325" customFormat="false" ht="15" hidden="false" customHeight="false" outlineLevel="0" collapsed="false">
      <c r="A325" s="5" t="s">
        <v>641</v>
      </c>
      <c r="B325" s="5" t="s">
        <v>343</v>
      </c>
      <c r="C325" s="5" t="s">
        <v>586</v>
      </c>
      <c r="D325" s="5" t="s">
        <v>620</v>
      </c>
      <c r="E325" s="5" t="s">
        <v>640</v>
      </c>
      <c r="F325" s="45" t="n">
        <v>47859.3</v>
      </c>
      <c r="G325" s="24" t="n">
        <v>18783</v>
      </c>
      <c r="H325" s="46" t="n">
        <v>394939.34</v>
      </c>
      <c r="I325" s="6" t="s">
        <v>595</v>
      </c>
    </row>
    <row r="326" customFormat="false" ht="15" hidden="false" customHeight="false" outlineLevel="0" collapsed="false">
      <c r="A326" s="5" t="s">
        <v>641</v>
      </c>
      <c r="B326" s="5" t="s">
        <v>356</v>
      </c>
      <c r="C326" s="5" t="s">
        <v>586</v>
      </c>
      <c r="D326" s="5" t="s">
        <v>620</v>
      </c>
      <c r="E326" s="5" t="s">
        <v>640</v>
      </c>
      <c r="F326" s="45" t="n">
        <v>27560.9</v>
      </c>
      <c r="G326" s="24" t="n">
        <v>20642</v>
      </c>
      <c r="H326" s="46" t="n">
        <v>363966.89</v>
      </c>
      <c r="I326" s="6" t="s">
        <v>596</v>
      </c>
    </row>
    <row r="327" customFormat="false" ht="15" hidden="false" customHeight="false" outlineLevel="0" collapsed="false">
      <c r="A327" s="5" t="s">
        <v>641</v>
      </c>
      <c r="B327" s="5" t="s">
        <v>369</v>
      </c>
      <c r="C327" s="5" t="s">
        <v>586</v>
      </c>
      <c r="D327" s="5" t="s">
        <v>620</v>
      </c>
      <c r="E327" s="5" t="s">
        <v>640</v>
      </c>
      <c r="F327" s="45" t="n">
        <v>5689.2</v>
      </c>
      <c r="G327" s="24" t="n">
        <v>4324</v>
      </c>
      <c r="H327" s="46" t="n">
        <v>49808.27</v>
      </c>
      <c r="I327" s="6" t="s">
        <v>597</v>
      </c>
    </row>
    <row r="328" customFormat="false" ht="15" hidden="false" customHeight="false" outlineLevel="0" collapsed="false">
      <c r="A328" s="5" t="s">
        <v>534</v>
      </c>
      <c r="B328" s="5" t="s">
        <v>265</v>
      </c>
      <c r="C328" s="5" t="s">
        <v>586</v>
      </c>
      <c r="D328" s="5" t="s">
        <v>620</v>
      </c>
      <c r="E328" s="5" t="s">
        <v>640</v>
      </c>
      <c r="F328" s="45" t="n">
        <v>18402.5</v>
      </c>
      <c r="G328" s="24" t="n">
        <v>11987</v>
      </c>
      <c r="H328" s="46" t="n">
        <v>287363.84</v>
      </c>
      <c r="I328" s="6" t="s">
        <v>589</v>
      </c>
    </row>
    <row r="329" customFormat="false" ht="15" hidden="false" customHeight="false" outlineLevel="0" collapsed="false">
      <c r="A329" s="5" t="s">
        <v>534</v>
      </c>
      <c r="B329" s="5" t="s">
        <v>278</v>
      </c>
      <c r="C329" s="5" t="s">
        <v>586</v>
      </c>
      <c r="D329" s="5" t="s">
        <v>620</v>
      </c>
      <c r="E329" s="5" t="s">
        <v>640</v>
      </c>
      <c r="F329" s="45" t="n">
        <v>16107</v>
      </c>
      <c r="G329" s="24" t="n">
        <v>12569</v>
      </c>
      <c r="H329" s="46" t="n">
        <v>198016.41</v>
      </c>
      <c r="I329" s="6" t="s">
        <v>590</v>
      </c>
    </row>
    <row r="330" customFormat="false" ht="15" hidden="false" customHeight="false" outlineLevel="0" collapsed="false">
      <c r="A330" s="5" t="s">
        <v>534</v>
      </c>
      <c r="B330" s="5" t="s">
        <v>291</v>
      </c>
      <c r="C330" s="5" t="s">
        <v>586</v>
      </c>
      <c r="D330" s="5" t="s">
        <v>620</v>
      </c>
      <c r="E330" s="5" t="s">
        <v>640</v>
      </c>
      <c r="F330" s="45" t="n">
        <v>13357</v>
      </c>
      <c r="G330" s="24" t="n">
        <v>10644</v>
      </c>
      <c r="H330" s="46" t="n">
        <v>191801.95</v>
      </c>
      <c r="I330" s="6" t="s">
        <v>591</v>
      </c>
    </row>
    <row r="331" customFormat="false" ht="15" hidden="false" customHeight="false" outlineLevel="0" collapsed="false">
      <c r="A331" s="5" t="s">
        <v>534</v>
      </c>
      <c r="B331" s="5" t="s">
        <v>304</v>
      </c>
      <c r="C331" s="5" t="s">
        <v>586</v>
      </c>
      <c r="D331" s="5" t="s">
        <v>620</v>
      </c>
      <c r="E331" s="5" t="s">
        <v>640</v>
      </c>
      <c r="F331" s="45" t="n">
        <v>13384.1</v>
      </c>
      <c r="G331" s="24" t="n">
        <v>10661</v>
      </c>
      <c r="H331" s="46" t="n">
        <v>116751.39</v>
      </c>
      <c r="I331" s="6" t="s">
        <v>592</v>
      </c>
    </row>
    <row r="332" customFormat="false" ht="15" hidden="false" customHeight="false" outlineLevel="0" collapsed="false">
      <c r="A332" s="5" t="s">
        <v>534</v>
      </c>
      <c r="B332" s="5" t="s">
        <v>317</v>
      </c>
      <c r="C332" s="5" t="s">
        <v>586</v>
      </c>
      <c r="D332" s="5" t="s">
        <v>620</v>
      </c>
      <c r="E332" s="5" t="s">
        <v>640</v>
      </c>
      <c r="F332" s="45" t="n">
        <v>6202</v>
      </c>
      <c r="G332" s="24" t="n">
        <v>4666</v>
      </c>
      <c r="H332" s="46" t="n">
        <v>59664.27</v>
      </c>
      <c r="I332" s="6" t="s">
        <v>593</v>
      </c>
    </row>
    <row r="333" customFormat="false" ht="15" hidden="false" customHeight="false" outlineLevel="0" collapsed="false">
      <c r="A333" s="5" t="s">
        <v>534</v>
      </c>
      <c r="B333" s="5" t="s">
        <v>330</v>
      </c>
      <c r="C333" s="5" t="s">
        <v>586</v>
      </c>
      <c r="D333" s="5" t="s">
        <v>620</v>
      </c>
      <c r="E333" s="5" t="s">
        <v>640</v>
      </c>
      <c r="F333" s="45" t="n">
        <v>9525.6</v>
      </c>
      <c r="G333" s="24" t="n">
        <v>6715</v>
      </c>
      <c r="H333" s="46" t="n">
        <v>209614.56</v>
      </c>
      <c r="I333" s="6" t="s">
        <v>594</v>
      </c>
    </row>
    <row r="334" customFormat="false" ht="15" hidden="false" customHeight="false" outlineLevel="0" collapsed="false">
      <c r="A334" s="5" t="s">
        <v>534</v>
      </c>
      <c r="B334" s="5" t="s">
        <v>343</v>
      </c>
      <c r="C334" s="5" t="s">
        <v>586</v>
      </c>
      <c r="D334" s="5" t="s">
        <v>620</v>
      </c>
      <c r="E334" s="5" t="s">
        <v>640</v>
      </c>
      <c r="F334" s="45" t="n">
        <v>21356.3</v>
      </c>
      <c r="G334" s="24" t="n">
        <v>8558</v>
      </c>
      <c r="H334" s="46" t="n">
        <v>224664</v>
      </c>
      <c r="I334" s="6" t="s">
        <v>595</v>
      </c>
    </row>
    <row r="335" customFormat="false" ht="15" hidden="false" customHeight="false" outlineLevel="0" collapsed="false">
      <c r="A335" s="5" t="s">
        <v>534</v>
      </c>
      <c r="B335" s="5" t="s">
        <v>356</v>
      </c>
      <c r="C335" s="5" t="s">
        <v>586</v>
      </c>
      <c r="D335" s="5" t="s">
        <v>620</v>
      </c>
      <c r="E335" s="5" t="s">
        <v>640</v>
      </c>
      <c r="F335" s="45" t="n">
        <v>12916.3</v>
      </c>
      <c r="G335" s="24" t="n">
        <v>9666</v>
      </c>
      <c r="H335" s="46" t="n">
        <v>128262.09</v>
      </c>
      <c r="I335" s="6" t="s">
        <v>596</v>
      </c>
    </row>
    <row r="336" customFormat="false" ht="15" hidden="false" customHeight="false" outlineLevel="0" collapsed="false">
      <c r="A336" s="5" t="s">
        <v>534</v>
      </c>
      <c r="B336" s="5" t="s">
        <v>369</v>
      </c>
      <c r="C336" s="5" t="s">
        <v>586</v>
      </c>
      <c r="D336" s="5" t="s">
        <v>620</v>
      </c>
      <c r="E336" s="5" t="s">
        <v>640</v>
      </c>
      <c r="F336" s="45" t="n">
        <v>3138.9</v>
      </c>
      <c r="G336" s="24" t="n">
        <v>2505</v>
      </c>
      <c r="H336" s="46" t="n">
        <v>32585.83</v>
      </c>
      <c r="I336" s="6" t="s">
        <v>597</v>
      </c>
    </row>
    <row r="337" customFormat="false" ht="15" hidden="false" customHeight="false" outlineLevel="0" collapsed="false">
      <c r="A337" s="5" t="s">
        <v>642</v>
      </c>
      <c r="B337" s="5" t="s">
        <v>265</v>
      </c>
      <c r="C337" s="5" t="s">
        <v>586</v>
      </c>
      <c r="D337" s="5" t="s">
        <v>620</v>
      </c>
      <c r="E337" s="5" t="s">
        <v>640</v>
      </c>
      <c r="F337" s="45" t="n">
        <v>8523.2</v>
      </c>
      <c r="G337" s="24" t="n">
        <v>6367</v>
      </c>
      <c r="H337" s="46" t="n">
        <v>176680.17</v>
      </c>
      <c r="I337" s="6" t="s">
        <v>589</v>
      </c>
    </row>
    <row r="338" customFormat="false" ht="15" hidden="false" customHeight="false" outlineLevel="0" collapsed="false">
      <c r="A338" s="5" t="s">
        <v>642</v>
      </c>
      <c r="B338" s="5" t="s">
        <v>278</v>
      </c>
      <c r="C338" s="5" t="s">
        <v>586</v>
      </c>
      <c r="D338" s="5" t="s">
        <v>620</v>
      </c>
      <c r="E338" s="5" t="s">
        <v>640</v>
      </c>
      <c r="F338" s="45" t="n">
        <v>40453.5</v>
      </c>
      <c r="G338" s="24" t="n">
        <v>7904</v>
      </c>
      <c r="H338" s="46" t="n">
        <v>163795.05</v>
      </c>
      <c r="I338" s="6" t="s">
        <v>590</v>
      </c>
    </row>
    <row r="339" customFormat="false" ht="15" hidden="false" customHeight="false" outlineLevel="0" collapsed="false">
      <c r="A339" s="5" t="s">
        <v>642</v>
      </c>
      <c r="B339" s="5" t="s">
        <v>291</v>
      </c>
      <c r="C339" s="5" t="s">
        <v>586</v>
      </c>
      <c r="D339" s="5" t="s">
        <v>620</v>
      </c>
      <c r="E339" s="5" t="s">
        <v>640</v>
      </c>
      <c r="F339" s="45" t="n">
        <v>8473</v>
      </c>
      <c r="G339" s="24" t="n">
        <v>6337</v>
      </c>
      <c r="H339" s="46" t="n">
        <v>155435.61</v>
      </c>
      <c r="I339" s="6" t="s">
        <v>591</v>
      </c>
    </row>
    <row r="340" customFormat="false" ht="15" hidden="false" customHeight="false" outlineLevel="0" collapsed="false">
      <c r="A340" s="5" t="s">
        <v>642</v>
      </c>
      <c r="B340" s="5" t="s">
        <v>304</v>
      </c>
      <c r="C340" s="5" t="s">
        <v>586</v>
      </c>
      <c r="D340" s="5" t="s">
        <v>620</v>
      </c>
      <c r="E340" s="5" t="s">
        <v>640</v>
      </c>
      <c r="F340" s="45" t="n">
        <v>8830.5</v>
      </c>
      <c r="G340" s="24" t="n">
        <v>6875</v>
      </c>
      <c r="H340" s="46" t="n">
        <v>75436.72</v>
      </c>
      <c r="I340" s="6" t="s">
        <v>592</v>
      </c>
    </row>
    <row r="341" customFormat="false" ht="15" hidden="false" customHeight="false" outlineLevel="0" collapsed="false">
      <c r="A341" s="5" t="s">
        <v>642</v>
      </c>
      <c r="B341" s="5" t="s">
        <v>317</v>
      </c>
      <c r="C341" s="5" t="s">
        <v>586</v>
      </c>
      <c r="D341" s="5" t="s">
        <v>620</v>
      </c>
      <c r="E341" s="5" t="s">
        <v>640</v>
      </c>
      <c r="F341" s="45" t="n">
        <v>4575.5</v>
      </c>
      <c r="G341" s="24" t="n">
        <v>3738</v>
      </c>
      <c r="H341" s="46" t="n">
        <v>40752.69</v>
      </c>
      <c r="I341" s="6" t="s">
        <v>593</v>
      </c>
    </row>
    <row r="342" customFormat="false" ht="15" hidden="false" customHeight="false" outlineLevel="0" collapsed="false">
      <c r="A342" s="5" t="s">
        <v>642</v>
      </c>
      <c r="B342" s="5" t="s">
        <v>330</v>
      </c>
      <c r="C342" s="5" t="s">
        <v>586</v>
      </c>
      <c r="D342" s="5" t="s">
        <v>620</v>
      </c>
      <c r="E342" s="5" t="s">
        <v>640</v>
      </c>
      <c r="F342" s="45" t="n">
        <v>5012.5</v>
      </c>
      <c r="G342" s="24" t="n">
        <v>3828</v>
      </c>
      <c r="H342" s="46" t="n">
        <v>188241.65</v>
      </c>
      <c r="I342" s="6" t="s">
        <v>594</v>
      </c>
    </row>
    <row r="343" customFormat="false" ht="15" hidden="false" customHeight="false" outlineLevel="0" collapsed="false">
      <c r="A343" s="5" t="s">
        <v>642</v>
      </c>
      <c r="B343" s="5" t="s">
        <v>343</v>
      </c>
      <c r="C343" s="5" t="s">
        <v>586</v>
      </c>
      <c r="D343" s="5" t="s">
        <v>620</v>
      </c>
      <c r="E343" s="5" t="s">
        <v>640</v>
      </c>
      <c r="F343" s="45" t="n">
        <v>12224.1</v>
      </c>
      <c r="G343" s="24" t="n">
        <v>3247</v>
      </c>
      <c r="H343" s="46" t="n">
        <v>107388.17</v>
      </c>
      <c r="I343" s="6" t="s">
        <v>595</v>
      </c>
    </row>
    <row r="344" customFormat="false" ht="15" hidden="false" customHeight="false" outlineLevel="0" collapsed="false">
      <c r="A344" s="5" t="s">
        <v>642</v>
      </c>
      <c r="B344" s="5" t="s">
        <v>356</v>
      </c>
      <c r="C344" s="5" t="s">
        <v>586</v>
      </c>
      <c r="D344" s="5" t="s">
        <v>620</v>
      </c>
      <c r="E344" s="5" t="s">
        <v>640</v>
      </c>
      <c r="F344" s="45" t="n">
        <v>9183.7</v>
      </c>
      <c r="G344" s="24" t="n">
        <v>3237</v>
      </c>
      <c r="H344" s="46" t="n">
        <v>133824.49</v>
      </c>
      <c r="I344" s="6" t="s">
        <v>596</v>
      </c>
    </row>
    <row r="345" customFormat="false" ht="15" hidden="false" customHeight="false" outlineLevel="0" collapsed="false">
      <c r="A345" s="5" t="s">
        <v>642</v>
      </c>
      <c r="B345" s="5" t="s">
        <v>369</v>
      </c>
      <c r="C345" s="5" t="s">
        <v>586</v>
      </c>
      <c r="D345" s="5" t="s">
        <v>620</v>
      </c>
      <c r="E345" s="5" t="s">
        <v>640</v>
      </c>
      <c r="F345" s="45" t="n">
        <v>960.3</v>
      </c>
      <c r="G345" s="24" t="n">
        <v>771</v>
      </c>
      <c r="H345" s="46" t="n">
        <v>9366.39</v>
      </c>
      <c r="I345" s="6" t="s">
        <v>597</v>
      </c>
    </row>
    <row r="346" customFormat="false" ht="15" hidden="false" customHeight="false" outlineLevel="0" collapsed="false">
      <c r="A346" s="5" t="s">
        <v>540</v>
      </c>
      <c r="B346" s="5" t="s">
        <v>265</v>
      </c>
      <c r="C346" s="5" t="s">
        <v>586</v>
      </c>
      <c r="D346" s="5" t="s">
        <v>620</v>
      </c>
      <c r="E346" s="5" t="s">
        <v>643</v>
      </c>
      <c r="F346" s="45" t="n">
        <v>129444.8</v>
      </c>
      <c r="G346" s="24" t="n">
        <v>106659</v>
      </c>
      <c r="H346" s="46" t="n">
        <v>3269919.3</v>
      </c>
      <c r="I346" s="6" t="s">
        <v>589</v>
      </c>
    </row>
    <row r="347" customFormat="false" ht="15" hidden="false" customHeight="false" outlineLevel="0" collapsed="false">
      <c r="A347" s="5" t="s">
        <v>540</v>
      </c>
      <c r="B347" s="5" t="s">
        <v>278</v>
      </c>
      <c r="C347" s="5" t="s">
        <v>586</v>
      </c>
      <c r="D347" s="5" t="s">
        <v>620</v>
      </c>
      <c r="E347" s="5" t="s">
        <v>643</v>
      </c>
      <c r="F347" s="45" t="n">
        <v>91611.8</v>
      </c>
      <c r="G347" s="24" t="n">
        <v>82024</v>
      </c>
      <c r="H347" s="46" t="n">
        <v>1909087.59</v>
      </c>
      <c r="I347" s="6" t="s">
        <v>590</v>
      </c>
    </row>
    <row r="348" customFormat="false" ht="15" hidden="false" customHeight="false" outlineLevel="0" collapsed="false">
      <c r="A348" s="5" t="s">
        <v>540</v>
      </c>
      <c r="B348" s="5" t="s">
        <v>291</v>
      </c>
      <c r="C348" s="5" t="s">
        <v>586</v>
      </c>
      <c r="D348" s="5" t="s">
        <v>620</v>
      </c>
      <c r="E348" s="5" t="s">
        <v>643</v>
      </c>
      <c r="F348" s="45" t="n">
        <v>81723.8</v>
      </c>
      <c r="G348" s="24" t="n">
        <v>73566</v>
      </c>
      <c r="H348" s="46" t="n">
        <v>1380165.34</v>
      </c>
      <c r="I348" s="6" t="s">
        <v>591</v>
      </c>
    </row>
    <row r="349" customFormat="false" ht="15" hidden="false" customHeight="false" outlineLevel="0" collapsed="false">
      <c r="A349" s="5" t="s">
        <v>540</v>
      </c>
      <c r="B349" s="5" t="s">
        <v>304</v>
      </c>
      <c r="C349" s="5" t="s">
        <v>586</v>
      </c>
      <c r="D349" s="5" t="s">
        <v>620</v>
      </c>
      <c r="E349" s="5" t="s">
        <v>643</v>
      </c>
      <c r="F349" s="45" t="n">
        <v>78824.1</v>
      </c>
      <c r="G349" s="24" t="n">
        <v>69986</v>
      </c>
      <c r="H349" s="46" t="n">
        <v>1324557.12</v>
      </c>
      <c r="I349" s="6" t="s">
        <v>592</v>
      </c>
    </row>
    <row r="350" customFormat="false" ht="15" hidden="false" customHeight="false" outlineLevel="0" collapsed="false">
      <c r="A350" s="5" t="s">
        <v>540</v>
      </c>
      <c r="B350" s="5" t="s">
        <v>317</v>
      </c>
      <c r="C350" s="5" t="s">
        <v>586</v>
      </c>
      <c r="D350" s="5" t="s">
        <v>620</v>
      </c>
      <c r="E350" s="5" t="s">
        <v>643</v>
      </c>
      <c r="F350" s="45" t="n">
        <v>51672.3</v>
      </c>
      <c r="G350" s="24" t="n">
        <v>43033</v>
      </c>
      <c r="H350" s="46" t="n">
        <v>1142737.07</v>
      </c>
      <c r="I350" s="6" t="s">
        <v>593</v>
      </c>
    </row>
    <row r="351" customFormat="false" ht="15" hidden="false" customHeight="false" outlineLevel="0" collapsed="false">
      <c r="A351" s="5" t="s">
        <v>540</v>
      </c>
      <c r="B351" s="5" t="s">
        <v>330</v>
      </c>
      <c r="C351" s="5" t="s">
        <v>586</v>
      </c>
      <c r="D351" s="5" t="s">
        <v>620</v>
      </c>
      <c r="E351" s="5" t="s">
        <v>643</v>
      </c>
      <c r="F351" s="45" t="n">
        <v>56334.9</v>
      </c>
      <c r="G351" s="24" t="n">
        <v>48508</v>
      </c>
      <c r="H351" s="46" t="n">
        <v>1446779.77</v>
      </c>
      <c r="I351" s="6" t="s">
        <v>594</v>
      </c>
    </row>
    <row r="352" customFormat="false" ht="15" hidden="false" customHeight="false" outlineLevel="0" collapsed="false">
      <c r="A352" s="5" t="s">
        <v>540</v>
      </c>
      <c r="B352" s="5" t="s">
        <v>343</v>
      </c>
      <c r="C352" s="5" t="s">
        <v>586</v>
      </c>
      <c r="D352" s="5" t="s">
        <v>620</v>
      </c>
      <c r="E352" s="5" t="s">
        <v>643</v>
      </c>
      <c r="F352" s="45" t="n">
        <v>66718.5</v>
      </c>
      <c r="G352" s="24" t="n">
        <v>37826</v>
      </c>
      <c r="H352" s="46" t="n">
        <v>796902.16</v>
      </c>
      <c r="I352" s="6" t="s">
        <v>595</v>
      </c>
    </row>
    <row r="353" customFormat="false" ht="15" hidden="false" customHeight="false" outlineLevel="0" collapsed="false">
      <c r="A353" s="5" t="s">
        <v>540</v>
      </c>
      <c r="B353" s="5" t="s">
        <v>356</v>
      </c>
      <c r="C353" s="5" t="s">
        <v>586</v>
      </c>
      <c r="D353" s="5" t="s">
        <v>620</v>
      </c>
      <c r="E353" s="5" t="s">
        <v>643</v>
      </c>
      <c r="F353" s="45" t="n">
        <v>171112.9</v>
      </c>
      <c r="G353" s="24" t="n">
        <v>46804</v>
      </c>
      <c r="H353" s="46" t="n">
        <v>1013282.89</v>
      </c>
      <c r="I353" s="6" t="s">
        <v>596</v>
      </c>
    </row>
    <row r="354" customFormat="false" ht="15" hidden="false" customHeight="false" outlineLevel="0" collapsed="false">
      <c r="A354" s="5" t="s">
        <v>540</v>
      </c>
      <c r="B354" s="5" t="s">
        <v>369</v>
      </c>
      <c r="C354" s="5" t="s">
        <v>586</v>
      </c>
      <c r="D354" s="5" t="s">
        <v>620</v>
      </c>
      <c r="E354" s="5" t="s">
        <v>643</v>
      </c>
      <c r="F354" s="45" t="n">
        <v>26331.3</v>
      </c>
      <c r="G354" s="24" t="n">
        <v>8849</v>
      </c>
      <c r="H354" s="46" t="n">
        <v>187683.95</v>
      </c>
      <c r="I354" s="6" t="s">
        <v>597</v>
      </c>
    </row>
    <row r="355" customFormat="false" ht="15" hidden="false" customHeight="false" outlineLevel="0" collapsed="false">
      <c r="A355" s="5" t="s">
        <v>644</v>
      </c>
      <c r="B355" s="5" t="s">
        <v>265</v>
      </c>
      <c r="C355" s="5" t="s">
        <v>586</v>
      </c>
      <c r="D355" s="5" t="s">
        <v>620</v>
      </c>
      <c r="E355" s="5" t="s">
        <v>643</v>
      </c>
      <c r="F355" s="45" t="n">
        <v>49533.8</v>
      </c>
      <c r="G355" s="24" t="n">
        <v>34311</v>
      </c>
      <c r="H355" s="46" t="n">
        <v>1179514.56</v>
      </c>
      <c r="I355" s="6" t="s">
        <v>589</v>
      </c>
    </row>
    <row r="356" customFormat="false" ht="15" hidden="false" customHeight="false" outlineLevel="0" collapsed="false">
      <c r="A356" s="5" t="s">
        <v>644</v>
      </c>
      <c r="B356" s="5" t="s">
        <v>278</v>
      </c>
      <c r="C356" s="5" t="s">
        <v>586</v>
      </c>
      <c r="D356" s="5" t="s">
        <v>620</v>
      </c>
      <c r="E356" s="5" t="s">
        <v>643</v>
      </c>
      <c r="F356" s="45" t="n">
        <v>34554</v>
      </c>
      <c r="G356" s="24" t="n">
        <v>30815</v>
      </c>
      <c r="H356" s="46" t="n">
        <v>736133.11</v>
      </c>
      <c r="I356" s="6" t="s">
        <v>590</v>
      </c>
    </row>
    <row r="357" customFormat="false" ht="15" hidden="false" customHeight="false" outlineLevel="0" collapsed="false">
      <c r="A357" s="5" t="s">
        <v>644</v>
      </c>
      <c r="B357" s="5" t="s">
        <v>291</v>
      </c>
      <c r="C357" s="5" t="s">
        <v>586</v>
      </c>
      <c r="D357" s="5" t="s">
        <v>620</v>
      </c>
      <c r="E357" s="5" t="s">
        <v>643</v>
      </c>
      <c r="F357" s="45" t="n">
        <v>33067.8</v>
      </c>
      <c r="G357" s="24" t="n">
        <v>26560</v>
      </c>
      <c r="H357" s="46" t="n">
        <v>540769.85</v>
      </c>
      <c r="I357" s="6" t="s">
        <v>591</v>
      </c>
    </row>
    <row r="358" customFormat="false" ht="15" hidden="false" customHeight="false" outlineLevel="0" collapsed="false">
      <c r="A358" s="5" t="s">
        <v>644</v>
      </c>
      <c r="B358" s="5" t="s">
        <v>304</v>
      </c>
      <c r="C358" s="5" t="s">
        <v>586</v>
      </c>
      <c r="D358" s="5" t="s">
        <v>620</v>
      </c>
      <c r="E358" s="5" t="s">
        <v>643</v>
      </c>
      <c r="F358" s="45" t="n">
        <v>28902.2</v>
      </c>
      <c r="G358" s="24" t="n">
        <v>23168</v>
      </c>
      <c r="H358" s="46" t="n">
        <v>440203.14</v>
      </c>
      <c r="I358" s="6" t="s">
        <v>592</v>
      </c>
    </row>
    <row r="359" customFormat="false" ht="15" hidden="false" customHeight="false" outlineLevel="0" collapsed="false">
      <c r="A359" s="5" t="s">
        <v>644</v>
      </c>
      <c r="B359" s="5" t="s">
        <v>317</v>
      </c>
      <c r="C359" s="5" t="s">
        <v>586</v>
      </c>
      <c r="D359" s="5" t="s">
        <v>620</v>
      </c>
      <c r="E359" s="5" t="s">
        <v>643</v>
      </c>
      <c r="F359" s="45" t="n">
        <v>19309.1</v>
      </c>
      <c r="G359" s="24" t="n">
        <v>15398</v>
      </c>
      <c r="H359" s="46" t="n">
        <v>353420.25</v>
      </c>
      <c r="I359" s="6" t="s">
        <v>593</v>
      </c>
    </row>
    <row r="360" customFormat="false" ht="15" hidden="false" customHeight="false" outlineLevel="0" collapsed="false">
      <c r="A360" s="5" t="s">
        <v>644</v>
      </c>
      <c r="B360" s="5" t="s">
        <v>330</v>
      </c>
      <c r="C360" s="5" t="s">
        <v>586</v>
      </c>
      <c r="D360" s="5" t="s">
        <v>620</v>
      </c>
      <c r="E360" s="5" t="s">
        <v>643</v>
      </c>
      <c r="F360" s="45" t="n">
        <v>23509</v>
      </c>
      <c r="G360" s="24" t="n">
        <v>18025</v>
      </c>
      <c r="H360" s="46" t="n">
        <v>420096.07</v>
      </c>
      <c r="I360" s="6" t="s">
        <v>594</v>
      </c>
    </row>
    <row r="361" customFormat="false" ht="15" hidden="false" customHeight="false" outlineLevel="0" collapsed="false">
      <c r="A361" s="5" t="s">
        <v>644</v>
      </c>
      <c r="B361" s="5" t="s">
        <v>343</v>
      </c>
      <c r="C361" s="5" t="s">
        <v>586</v>
      </c>
      <c r="D361" s="5" t="s">
        <v>620</v>
      </c>
      <c r="E361" s="5" t="s">
        <v>643</v>
      </c>
      <c r="F361" s="45" t="n">
        <v>15510.4</v>
      </c>
      <c r="G361" s="24" t="n">
        <v>10582</v>
      </c>
      <c r="H361" s="46" t="n">
        <v>207158.67</v>
      </c>
      <c r="I361" s="6" t="s">
        <v>595</v>
      </c>
    </row>
    <row r="362" customFormat="false" ht="15" hidden="false" customHeight="false" outlineLevel="0" collapsed="false">
      <c r="A362" s="5" t="s">
        <v>644</v>
      </c>
      <c r="B362" s="5" t="s">
        <v>356</v>
      </c>
      <c r="C362" s="5" t="s">
        <v>586</v>
      </c>
      <c r="D362" s="5" t="s">
        <v>620</v>
      </c>
      <c r="E362" s="5" t="s">
        <v>643</v>
      </c>
      <c r="F362" s="45" t="n">
        <v>8335.3</v>
      </c>
      <c r="G362" s="24" t="n">
        <v>8760</v>
      </c>
      <c r="H362" s="46" t="n">
        <v>161733.35</v>
      </c>
      <c r="I362" s="6" t="s">
        <v>596</v>
      </c>
    </row>
    <row r="363" customFormat="false" ht="15" hidden="false" customHeight="false" outlineLevel="0" collapsed="false">
      <c r="A363" s="5" t="s">
        <v>644</v>
      </c>
      <c r="B363" s="5" t="s">
        <v>369</v>
      </c>
      <c r="C363" s="5" t="s">
        <v>586</v>
      </c>
      <c r="D363" s="5" t="s">
        <v>620</v>
      </c>
      <c r="E363" s="5" t="s">
        <v>643</v>
      </c>
      <c r="F363" s="45" t="n">
        <v>1442.8</v>
      </c>
      <c r="G363" s="24" t="n">
        <v>1723</v>
      </c>
      <c r="H363" s="46" t="n">
        <v>21665.7</v>
      </c>
      <c r="I363" s="6" t="s">
        <v>597</v>
      </c>
    </row>
    <row r="364" customFormat="false" ht="15" hidden="false" customHeight="false" outlineLevel="0" collapsed="false">
      <c r="A364" s="5" t="s">
        <v>645</v>
      </c>
      <c r="B364" s="5" t="s">
        <v>265</v>
      </c>
      <c r="C364" s="5" t="s">
        <v>586</v>
      </c>
      <c r="D364" s="5" t="s">
        <v>620</v>
      </c>
      <c r="E364" s="5" t="s">
        <v>643</v>
      </c>
      <c r="F364" s="45" t="n">
        <v>18297.5</v>
      </c>
      <c r="G364" s="24" t="n">
        <v>10989</v>
      </c>
      <c r="H364" s="46" t="n">
        <v>221890.66</v>
      </c>
      <c r="I364" s="6" t="s">
        <v>589</v>
      </c>
    </row>
    <row r="365" customFormat="false" ht="15" hidden="false" customHeight="false" outlineLevel="0" collapsed="false">
      <c r="A365" s="5" t="s">
        <v>645</v>
      </c>
      <c r="B365" s="5" t="s">
        <v>278</v>
      </c>
      <c r="C365" s="5" t="s">
        <v>586</v>
      </c>
      <c r="D365" s="5" t="s">
        <v>620</v>
      </c>
      <c r="E365" s="5" t="s">
        <v>643</v>
      </c>
      <c r="F365" s="45" t="n">
        <v>12657.5</v>
      </c>
      <c r="G365" s="24" t="n">
        <v>11263</v>
      </c>
      <c r="H365" s="46" t="n">
        <v>204793.23</v>
      </c>
      <c r="I365" s="6" t="s">
        <v>590</v>
      </c>
    </row>
    <row r="366" customFormat="false" ht="15" hidden="false" customHeight="false" outlineLevel="0" collapsed="false">
      <c r="A366" s="5" t="s">
        <v>645</v>
      </c>
      <c r="B366" s="5" t="s">
        <v>291</v>
      </c>
      <c r="C366" s="5" t="s">
        <v>586</v>
      </c>
      <c r="D366" s="5" t="s">
        <v>620</v>
      </c>
      <c r="E366" s="5" t="s">
        <v>643</v>
      </c>
      <c r="F366" s="45" t="n">
        <v>11954</v>
      </c>
      <c r="G366" s="24" t="n">
        <v>9028</v>
      </c>
      <c r="H366" s="46" t="n">
        <v>130358.25</v>
      </c>
      <c r="I366" s="6" t="s">
        <v>591</v>
      </c>
    </row>
    <row r="367" customFormat="false" ht="15" hidden="false" customHeight="false" outlineLevel="0" collapsed="false">
      <c r="A367" s="5" t="s">
        <v>645</v>
      </c>
      <c r="B367" s="5" t="s">
        <v>304</v>
      </c>
      <c r="C367" s="5" t="s">
        <v>586</v>
      </c>
      <c r="D367" s="5" t="s">
        <v>620</v>
      </c>
      <c r="E367" s="5" t="s">
        <v>643</v>
      </c>
      <c r="F367" s="45" t="n">
        <v>13588.8</v>
      </c>
      <c r="G367" s="24" t="n">
        <v>10609</v>
      </c>
      <c r="H367" s="46" t="n">
        <v>165132.15</v>
      </c>
      <c r="I367" s="6" t="s">
        <v>592</v>
      </c>
    </row>
    <row r="368" customFormat="false" ht="15" hidden="false" customHeight="false" outlineLevel="0" collapsed="false">
      <c r="A368" s="5" t="s">
        <v>645</v>
      </c>
      <c r="B368" s="5" t="s">
        <v>317</v>
      </c>
      <c r="C368" s="5" t="s">
        <v>586</v>
      </c>
      <c r="D368" s="5" t="s">
        <v>620</v>
      </c>
      <c r="E368" s="5" t="s">
        <v>643</v>
      </c>
      <c r="F368" s="45" t="n">
        <v>5305.8</v>
      </c>
      <c r="G368" s="24" t="n">
        <v>4294</v>
      </c>
      <c r="H368" s="46" t="n">
        <v>84857.73</v>
      </c>
      <c r="I368" s="6" t="s">
        <v>593</v>
      </c>
    </row>
    <row r="369" customFormat="false" ht="15" hidden="false" customHeight="false" outlineLevel="0" collapsed="false">
      <c r="A369" s="5" t="s">
        <v>645</v>
      </c>
      <c r="B369" s="5" t="s">
        <v>330</v>
      </c>
      <c r="C369" s="5" t="s">
        <v>586</v>
      </c>
      <c r="D369" s="5" t="s">
        <v>620</v>
      </c>
      <c r="E369" s="5" t="s">
        <v>643</v>
      </c>
      <c r="F369" s="45" t="n">
        <v>2483.5</v>
      </c>
      <c r="G369" s="24" t="n">
        <v>1959</v>
      </c>
      <c r="H369" s="46" t="n">
        <v>41780.45</v>
      </c>
      <c r="I369" s="6" t="s">
        <v>594</v>
      </c>
    </row>
    <row r="370" customFormat="false" ht="15" hidden="false" customHeight="false" outlineLevel="0" collapsed="false">
      <c r="A370" s="5" t="s">
        <v>645</v>
      </c>
      <c r="B370" s="5" t="s">
        <v>343</v>
      </c>
      <c r="C370" s="5" t="s">
        <v>586</v>
      </c>
      <c r="D370" s="5" t="s">
        <v>620</v>
      </c>
      <c r="E370" s="5" t="s">
        <v>643</v>
      </c>
      <c r="F370" s="45" t="n">
        <v>2830</v>
      </c>
      <c r="G370" s="24" t="n">
        <v>217</v>
      </c>
      <c r="H370" s="46" t="n">
        <v>7147.09</v>
      </c>
      <c r="I370" s="6" t="s">
        <v>595</v>
      </c>
    </row>
    <row r="371" customFormat="false" ht="15" hidden="false" customHeight="false" outlineLevel="0" collapsed="false">
      <c r="A371" s="5" t="s">
        <v>645</v>
      </c>
      <c r="B371" s="5" t="s">
        <v>356</v>
      </c>
      <c r="C371" s="5" t="s">
        <v>586</v>
      </c>
      <c r="D371" s="5" t="s">
        <v>620</v>
      </c>
      <c r="E371" s="5" t="s">
        <v>643</v>
      </c>
      <c r="F371" s="45" t="n">
        <v>3258</v>
      </c>
      <c r="G371" s="24" t="n">
        <v>54</v>
      </c>
      <c r="H371" s="46" t="n">
        <v>277.38</v>
      </c>
      <c r="I371" s="6" t="s">
        <v>596</v>
      </c>
    </row>
    <row r="372" customFormat="false" ht="15" hidden="false" customHeight="false" outlineLevel="0" collapsed="false">
      <c r="A372" s="5" t="s">
        <v>645</v>
      </c>
      <c r="B372" s="5" t="s">
        <v>369</v>
      </c>
      <c r="C372" s="5" t="s">
        <v>586</v>
      </c>
      <c r="D372" s="5" t="s">
        <v>620</v>
      </c>
      <c r="E372" s="5" t="s">
        <v>643</v>
      </c>
      <c r="F372" s="45" t="n">
        <v>2121</v>
      </c>
      <c r="G372" s="24" t="n">
        <v>27</v>
      </c>
      <c r="H372" s="46" t="n">
        <v>36.63</v>
      </c>
      <c r="I372" s="6" t="s">
        <v>597</v>
      </c>
    </row>
    <row r="373" customFormat="false" ht="15" hidden="false" customHeight="false" outlineLevel="0" collapsed="false">
      <c r="A373" s="5" t="s">
        <v>646</v>
      </c>
      <c r="B373" s="5" t="s">
        <v>265</v>
      </c>
      <c r="C373" s="5" t="s">
        <v>586</v>
      </c>
      <c r="D373" s="5" t="s">
        <v>620</v>
      </c>
      <c r="E373" s="5" t="s">
        <v>643</v>
      </c>
      <c r="F373" s="45" t="n">
        <v>7049.5</v>
      </c>
      <c r="G373" s="24" t="n">
        <v>4201</v>
      </c>
      <c r="H373" s="46" t="n">
        <v>251633.64</v>
      </c>
      <c r="I373" s="6" t="s">
        <v>589</v>
      </c>
    </row>
    <row r="374" customFormat="false" ht="15" hidden="false" customHeight="false" outlineLevel="0" collapsed="false">
      <c r="A374" s="5" t="s">
        <v>646</v>
      </c>
      <c r="B374" s="5" t="s">
        <v>278</v>
      </c>
      <c r="C374" s="5" t="s">
        <v>586</v>
      </c>
      <c r="D374" s="5" t="s">
        <v>620</v>
      </c>
      <c r="E374" s="5" t="s">
        <v>643</v>
      </c>
      <c r="F374" s="45" t="n">
        <v>6456.2</v>
      </c>
      <c r="G374" s="24" t="n">
        <v>4584</v>
      </c>
      <c r="H374" s="46" t="n">
        <v>134042.69</v>
      </c>
      <c r="I374" s="6" t="s">
        <v>590</v>
      </c>
    </row>
    <row r="375" customFormat="false" ht="15" hidden="false" customHeight="false" outlineLevel="0" collapsed="false">
      <c r="A375" s="5" t="s">
        <v>646</v>
      </c>
      <c r="B375" s="5" t="s">
        <v>291</v>
      </c>
      <c r="C375" s="5" t="s">
        <v>586</v>
      </c>
      <c r="D375" s="5" t="s">
        <v>620</v>
      </c>
      <c r="E375" s="5" t="s">
        <v>643</v>
      </c>
      <c r="F375" s="45" t="n">
        <v>6544.5</v>
      </c>
      <c r="G375" s="24" t="n">
        <v>4804</v>
      </c>
      <c r="H375" s="46" t="n">
        <v>64693.93</v>
      </c>
      <c r="I375" s="6" t="s">
        <v>591</v>
      </c>
    </row>
    <row r="376" customFormat="false" ht="15" hidden="false" customHeight="false" outlineLevel="0" collapsed="false">
      <c r="A376" s="5" t="s">
        <v>646</v>
      </c>
      <c r="B376" s="5" t="s">
        <v>304</v>
      </c>
      <c r="C376" s="5" t="s">
        <v>586</v>
      </c>
      <c r="D376" s="5" t="s">
        <v>620</v>
      </c>
      <c r="E376" s="5" t="s">
        <v>643</v>
      </c>
      <c r="F376" s="45" t="n">
        <v>9228</v>
      </c>
      <c r="G376" s="24" t="n">
        <v>8705</v>
      </c>
      <c r="H376" s="46" t="n">
        <v>107774.95</v>
      </c>
      <c r="I376" s="6" t="s">
        <v>592</v>
      </c>
    </row>
    <row r="377" customFormat="false" ht="15" hidden="false" customHeight="false" outlineLevel="0" collapsed="false">
      <c r="A377" s="5" t="s">
        <v>646</v>
      </c>
      <c r="B377" s="5" t="s">
        <v>317</v>
      </c>
      <c r="C377" s="5" t="s">
        <v>586</v>
      </c>
      <c r="D377" s="5" t="s">
        <v>620</v>
      </c>
      <c r="E377" s="5" t="s">
        <v>643</v>
      </c>
      <c r="F377" s="45" t="n">
        <v>4847.5</v>
      </c>
      <c r="G377" s="24" t="n">
        <v>4439</v>
      </c>
      <c r="H377" s="46" t="n">
        <v>78302.23</v>
      </c>
      <c r="I377" s="6" t="s">
        <v>593</v>
      </c>
    </row>
    <row r="378" customFormat="false" ht="15" hidden="false" customHeight="false" outlineLevel="0" collapsed="false">
      <c r="A378" s="5" t="s">
        <v>646</v>
      </c>
      <c r="B378" s="5" t="s">
        <v>330</v>
      </c>
      <c r="C378" s="5" t="s">
        <v>586</v>
      </c>
      <c r="D378" s="5" t="s">
        <v>620</v>
      </c>
      <c r="E378" s="5" t="s">
        <v>643</v>
      </c>
      <c r="F378" s="45" t="n">
        <v>2976.8</v>
      </c>
      <c r="G378" s="24" t="n">
        <v>2866</v>
      </c>
      <c r="H378" s="46" t="n">
        <v>53864.68</v>
      </c>
      <c r="I378" s="6" t="s">
        <v>594</v>
      </c>
    </row>
    <row r="379" customFormat="false" ht="15" hidden="false" customHeight="false" outlineLevel="0" collapsed="false">
      <c r="A379" s="5" t="s">
        <v>646</v>
      </c>
      <c r="B379" s="5" t="s">
        <v>343</v>
      </c>
      <c r="C379" s="5" t="s">
        <v>586</v>
      </c>
      <c r="D379" s="5" t="s">
        <v>620</v>
      </c>
      <c r="E379" s="5" t="s">
        <v>643</v>
      </c>
      <c r="F379" s="45" t="n">
        <v>687.6</v>
      </c>
      <c r="G379" s="24" t="n">
        <v>545</v>
      </c>
      <c r="H379" s="46" t="n">
        <v>6562</v>
      </c>
      <c r="I379" s="6" t="s">
        <v>595</v>
      </c>
    </row>
    <row r="380" customFormat="false" ht="15" hidden="false" customHeight="false" outlineLevel="0" collapsed="false">
      <c r="A380" s="5" t="s">
        <v>646</v>
      </c>
      <c r="B380" s="5" t="s">
        <v>356</v>
      </c>
      <c r="C380" s="5" t="s">
        <v>586</v>
      </c>
      <c r="D380" s="5" t="s">
        <v>620</v>
      </c>
      <c r="E380" s="5" t="s">
        <v>643</v>
      </c>
      <c r="F380" s="45" t="n">
        <v>36.2</v>
      </c>
      <c r="G380" s="24" t="n">
        <v>56</v>
      </c>
      <c r="H380" s="46" t="n">
        <v>166.59</v>
      </c>
      <c r="I380" s="6" t="s">
        <v>596</v>
      </c>
    </row>
    <row r="381" customFormat="false" ht="15" hidden="false" customHeight="false" outlineLevel="0" collapsed="false">
      <c r="A381" s="5" t="s">
        <v>647</v>
      </c>
      <c r="B381" s="5" t="s">
        <v>330</v>
      </c>
      <c r="C381" s="5" t="s">
        <v>648</v>
      </c>
      <c r="D381" s="5" t="s">
        <v>587</v>
      </c>
      <c r="E381" s="5" t="s">
        <v>607</v>
      </c>
      <c r="F381" s="45" t="n">
        <v>373.1</v>
      </c>
      <c r="G381" s="24" t="n">
        <v>239</v>
      </c>
      <c r="H381" s="46" t="n">
        <v>11740.21</v>
      </c>
      <c r="I381" s="6" t="s">
        <v>594</v>
      </c>
    </row>
    <row r="382" customFormat="false" ht="15" hidden="false" customHeight="false" outlineLevel="0" collapsed="false">
      <c r="A382" s="5" t="s">
        <v>647</v>
      </c>
      <c r="B382" s="5" t="s">
        <v>343</v>
      </c>
      <c r="C382" s="5" t="s">
        <v>648</v>
      </c>
      <c r="D382" s="5" t="s">
        <v>587</v>
      </c>
      <c r="E382" s="5" t="s">
        <v>607</v>
      </c>
      <c r="F382" s="45" t="n">
        <v>2946.7</v>
      </c>
      <c r="G382" s="24" t="n">
        <v>656</v>
      </c>
      <c r="H382" s="46" t="n">
        <v>10516.49</v>
      </c>
      <c r="I382" s="6" t="s">
        <v>595</v>
      </c>
    </row>
    <row r="383" customFormat="false" ht="15" hidden="false" customHeight="false" outlineLevel="0" collapsed="false">
      <c r="A383" s="5" t="s">
        <v>647</v>
      </c>
      <c r="B383" s="5" t="s">
        <v>356</v>
      </c>
      <c r="C383" s="5" t="s">
        <v>648</v>
      </c>
      <c r="D383" s="5" t="s">
        <v>587</v>
      </c>
      <c r="E383" s="5" t="s">
        <v>607</v>
      </c>
      <c r="F383" s="45" t="n">
        <v>9995.2</v>
      </c>
      <c r="G383" s="24" t="n">
        <v>1279</v>
      </c>
      <c r="H383" s="46" t="n">
        <v>32083.47</v>
      </c>
      <c r="I383" s="6" t="s">
        <v>596</v>
      </c>
    </row>
    <row r="384" customFormat="false" ht="15" hidden="false" customHeight="false" outlineLevel="0" collapsed="false">
      <c r="A384" s="5" t="s">
        <v>647</v>
      </c>
      <c r="B384" s="5" t="s">
        <v>369</v>
      </c>
      <c r="C384" s="5" t="s">
        <v>648</v>
      </c>
      <c r="D384" s="5" t="s">
        <v>587</v>
      </c>
      <c r="E384" s="5" t="s">
        <v>607</v>
      </c>
      <c r="F384" s="45" t="n">
        <v>812.1</v>
      </c>
      <c r="G384" s="24" t="n">
        <v>202</v>
      </c>
      <c r="H384" s="46" t="n">
        <v>631.53</v>
      </c>
      <c r="I384" s="6" t="s">
        <v>597</v>
      </c>
    </row>
    <row r="385" customFormat="false" ht="15" hidden="false" customHeight="false" outlineLevel="0" collapsed="false">
      <c r="A385" s="5" t="s">
        <v>649</v>
      </c>
      <c r="B385" s="5" t="s">
        <v>330</v>
      </c>
      <c r="C385" s="5" t="s">
        <v>648</v>
      </c>
      <c r="D385" s="5" t="s">
        <v>587</v>
      </c>
      <c r="E385" s="5" t="s">
        <v>607</v>
      </c>
      <c r="F385" s="45" t="n">
        <v>265.5</v>
      </c>
      <c r="G385" s="24" t="n">
        <v>161</v>
      </c>
      <c r="H385" s="46" t="n">
        <v>28848.58</v>
      </c>
      <c r="I385" s="6" t="s">
        <v>594</v>
      </c>
    </row>
    <row r="386" customFormat="false" ht="15" hidden="false" customHeight="false" outlineLevel="0" collapsed="false">
      <c r="A386" s="5" t="s">
        <v>649</v>
      </c>
      <c r="B386" s="5" t="s">
        <v>343</v>
      </c>
      <c r="C386" s="5" t="s">
        <v>648</v>
      </c>
      <c r="D386" s="5" t="s">
        <v>587</v>
      </c>
      <c r="E386" s="5" t="s">
        <v>607</v>
      </c>
      <c r="F386" s="45" t="n">
        <v>1876.6</v>
      </c>
      <c r="G386" s="24" t="n">
        <v>1238</v>
      </c>
      <c r="H386" s="46" t="n">
        <v>13084.15</v>
      </c>
      <c r="I386" s="6" t="s">
        <v>595</v>
      </c>
    </row>
    <row r="387" customFormat="false" ht="15" hidden="false" customHeight="false" outlineLevel="0" collapsed="false">
      <c r="A387" s="5" t="s">
        <v>649</v>
      </c>
      <c r="B387" s="5" t="s">
        <v>356</v>
      </c>
      <c r="C387" s="5" t="s">
        <v>648</v>
      </c>
      <c r="D387" s="5" t="s">
        <v>587</v>
      </c>
      <c r="E387" s="5" t="s">
        <v>607</v>
      </c>
      <c r="F387" s="45" t="n">
        <v>3372.6</v>
      </c>
      <c r="G387" s="24" t="n">
        <v>1865</v>
      </c>
      <c r="H387" s="46" t="n">
        <v>18642.97</v>
      </c>
      <c r="I387" s="6" t="s">
        <v>596</v>
      </c>
    </row>
    <row r="388" customFormat="false" ht="15" hidden="false" customHeight="false" outlineLevel="0" collapsed="false">
      <c r="A388" s="5" t="s">
        <v>649</v>
      </c>
      <c r="B388" s="5" t="s">
        <v>369</v>
      </c>
      <c r="C388" s="5" t="s">
        <v>648</v>
      </c>
      <c r="D388" s="5" t="s">
        <v>587</v>
      </c>
      <c r="E388" s="5" t="s">
        <v>607</v>
      </c>
      <c r="F388" s="45" t="n">
        <v>431.5</v>
      </c>
      <c r="G388" s="24" t="n">
        <v>362</v>
      </c>
      <c r="H388" s="46" t="n">
        <v>8398.31</v>
      </c>
      <c r="I388" s="6" t="s">
        <v>597</v>
      </c>
    </row>
    <row r="389" customFormat="false" ht="15" hidden="false" customHeight="false" outlineLevel="0" collapsed="false">
      <c r="A389" s="5" t="s">
        <v>650</v>
      </c>
      <c r="B389" s="5" t="s">
        <v>330</v>
      </c>
      <c r="C389" s="5" t="s">
        <v>648</v>
      </c>
      <c r="D389" s="5" t="s">
        <v>587</v>
      </c>
      <c r="E389" s="5" t="s">
        <v>611</v>
      </c>
      <c r="F389" s="45" t="n">
        <v>1432.2</v>
      </c>
      <c r="G389" s="24" t="n">
        <v>1261</v>
      </c>
      <c r="H389" s="46" t="n">
        <v>134073.24</v>
      </c>
      <c r="I389" s="6" t="s">
        <v>594</v>
      </c>
    </row>
    <row r="390" customFormat="false" ht="15" hidden="false" customHeight="false" outlineLevel="0" collapsed="false">
      <c r="A390" s="5" t="s">
        <v>650</v>
      </c>
      <c r="B390" s="5" t="s">
        <v>343</v>
      </c>
      <c r="C390" s="5" t="s">
        <v>648</v>
      </c>
      <c r="D390" s="5" t="s">
        <v>587</v>
      </c>
      <c r="E390" s="5" t="s">
        <v>611</v>
      </c>
      <c r="F390" s="45" t="n">
        <v>8196.2</v>
      </c>
      <c r="G390" s="24" t="n">
        <v>2132</v>
      </c>
      <c r="H390" s="46" t="n">
        <v>41821</v>
      </c>
      <c r="I390" s="6" t="s">
        <v>595</v>
      </c>
    </row>
    <row r="391" customFormat="false" ht="15" hidden="false" customHeight="false" outlineLevel="0" collapsed="false">
      <c r="A391" s="5" t="s">
        <v>650</v>
      </c>
      <c r="B391" s="5" t="s">
        <v>356</v>
      </c>
      <c r="C391" s="5" t="s">
        <v>648</v>
      </c>
      <c r="D391" s="5" t="s">
        <v>587</v>
      </c>
      <c r="E391" s="5" t="s">
        <v>611</v>
      </c>
      <c r="F391" s="45" t="n">
        <v>40755.5</v>
      </c>
      <c r="G391" s="24" t="n">
        <v>6018</v>
      </c>
      <c r="H391" s="46" t="n">
        <v>103674.39</v>
      </c>
      <c r="I391" s="6" t="s">
        <v>596</v>
      </c>
    </row>
    <row r="392" customFormat="false" ht="15" hidden="false" customHeight="false" outlineLevel="0" collapsed="false">
      <c r="A392" s="5" t="s">
        <v>650</v>
      </c>
      <c r="B392" s="5" t="s">
        <v>369</v>
      </c>
      <c r="C392" s="5" t="s">
        <v>648</v>
      </c>
      <c r="D392" s="5" t="s">
        <v>587</v>
      </c>
      <c r="E392" s="5" t="s">
        <v>611</v>
      </c>
      <c r="F392" s="45" t="n">
        <v>2090.9</v>
      </c>
      <c r="G392" s="24" t="n">
        <v>793</v>
      </c>
      <c r="H392" s="46" t="n">
        <v>11475.51</v>
      </c>
      <c r="I392" s="6" t="s">
        <v>597</v>
      </c>
    </row>
    <row r="393" customFormat="false" ht="15" hidden="false" customHeight="false" outlineLevel="0" collapsed="false">
      <c r="A393" s="5" t="s">
        <v>563</v>
      </c>
      <c r="B393" s="5" t="s">
        <v>330</v>
      </c>
      <c r="C393" s="5" t="s">
        <v>648</v>
      </c>
      <c r="D393" s="5" t="s">
        <v>587</v>
      </c>
      <c r="E393" s="5" t="s">
        <v>611</v>
      </c>
      <c r="F393" s="45" t="n">
        <v>1161.8</v>
      </c>
      <c r="G393" s="24" t="n">
        <v>1041</v>
      </c>
      <c r="H393" s="46" t="n">
        <v>332514.08</v>
      </c>
      <c r="I393" s="6" t="s">
        <v>594</v>
      </c>
    </row>
    <row r="394" customFormat="false" ht="15" hidden="false" customHeight="false" outlineLevel="0" collapsed="false">
      <c r="A394" s="5" t="s">
        <v>563</v>
      </c>
      <c r="B394" s="5" t="s">
        <v>343</v>
      </c>
      <c r="C394" s="5" t="s">
        <v>648</v>
      </c>
      <c r="D394" s="5" t="s">
        <v>587</v>
      </c>
      <c r="E394" s="5" t="s">
        <v>611</v>
      </c>
      <c r="F394" s="45" t="n">
        <v>3653.7</v>
      </c>
      <c r="G394" s="24" t="n">
        <v>2310</v>
      </c>
      <c r="H394" s="46" t="n">
        <v>85331.26</v>
      </c>
      <c r="I394" s="6" t="s">
        <v>595</v>
      </c>
    </row>
    <row r="395" customFormat="false" ht="15" hidden="false" customHeight="false" outlineLevel="0" collapsed="false">
      <c r="A395" s="5" t="s">
        <v>563</v>
      </c>
      <c r="B395" s="5" t="s">
        <v>356</v>
      </c>
      <c r="C395" s="5" t="s">
        <v>648</v>
      </c>
      <c r="D395" s="5" t="s">
        <v>587</v>
      </c>
      <c r="E395" s="5" t="s">
        <v>611</v>
      </c>
      <c r="F395" s="45" t="n">
        <v>9299.8</v>
      </c>
      <c r="G395" s="24" t="n">
        <v>4128</v>
      </c>
      <c r="H395" s="46" t="n">
        <v>87855.71</v>
      </c>
      <c r="I395" s="6" t="s">
        <v>596</v>
      </c>
    </row>
    <row r="396" customFormat="false" ht="15" hidden="false" customHeight="false" outlineLevel="0" collapsed="false">
      <c r="A396" s="5" t="s">
        <v>563</v>
      </c>
      <c r="B396" s="5" t="s">
        <v>369</v>
      </c>
      <c r="C396" s="5" t="s">
        <v>648</v>
      </c>
      <c r="D396" s="5" t="s">
        <v>587</v>
      </c>
      <c r="E396" s="5" t="s">
        <v>611</v>
      </c>
      <c r="F396" s="45" t="n">
        <v>900.8</v>
      </c>
      <c r="G396" s="24" t="n">
        <v>676</v>
      </c>
      <c r="H396" s="46" t="n">
        <v>9618.43</v>
      </c>
      <c r="I396" s="6" t="s">
        <v>597</v>
      </c>
    </row>
    <row r="397" customFormat="false" ht="15" hidden="false" customHeight="false" outlineLevel="0" collapsed="false">
      <c r="A397" s="5" t="s">
        <v>651</v>
      </c>
      <c r="B397" s="5" t="s">
        <v>291</v>
      </c>
      <c r="C397" s="5" t="s">
        <v>648</v>
      </c>
      <c r="D397" s="5" t="s">
        <v>587</v>
      </c>
      <c r="E397" s="5" t="s">
        <v>588</v>
      </c>
      <c r="F397" s="45" t="n">
        <v>44.9</v>
      </c>
      <c r="G397" s="24" t="n">
        <v>25</v>
      </c>
      <c r="H397" s="46" t="n">
        <v>1089.45</v>
      </c>
      <c r="I397" s="6" t="s">
        <v>591</v>
      </c>
    </row>
    <row r="398" customFormat="false" ht="15" hidden="false" customHeight="false" outlineLevel="0" collapsed="false">
      <c r="A398" s="5" t="s">
        <v>651</v>
      </c>
      <c r="B398" s="5" t="s">
        <v>304</v>
      </c>
      <c r="C398" s="5" t="s">
        <v>648</v>
      </c>
      <c r="D398" s="5" t="s">
        <v>587</v>
      </c>
      <c r="E398" s="5" t="s">
        <v>588</v>
      </c>
      <c r="F398" s="45" t="n">
        <v>611.8</v>
      </c>
      <c r="G398" s="24" t="n">
        <v>244</v>
      </c>
      <c r="H398" s="46" t="n">
        <v>20482.19</v>
      </c>
      <c r="I398" s="6" t="s">
        <v>592</v>
      </c>
    </row>
    <row r="399" customFormat="false" ht="15" hidden="false" customHeight="false" outlineLevel="0" collapsed="false">
      <c r="A399" s="5" t="s">
        <v>651</v>
      </c>
      <c r="B399" s="5" t="s">
        <v>317</v>
      </c>
      <c r="C399" s="5" t="s">
        <v>648</v>
      </c>
      <c r="D399" s="5" t="s">
        <v>587</v>
      </c>
      <c r="E399" s="5" t="s">
        <v>588</v>
      </c>
      <c r="F399" s="45" t="n">
        <v>619</v>
      </c>
      <c r="G399" s="24" t="n">
        <v>380</v>
      </c>
      <c r="H399" s="46" t="n">
        <v>14235.86</v>
      </c>
      <c r="I399" s="6" t="s">
        <v>593</v>
      </c>
    </row>
    <row r="400" customFormat="false" ht="15" hidden="false" customHeight="false" outlineLevel="0" collapsed="false">
      <c r="A400" s="5" t="s">
        <v>651</v>
      </c>
      <c r="B400" s="5" t="s">
        <v>330</v>
      </c>
      <c r="C400" s="5" t="s">
        <v>648</v>
      </c>
      <c r="D400" s="5" t="s">
        <v>587</v>
      </c>
      <c r="E400" s="5" t="s">
        <v>588</v>
      </c>
      <c r="F400" s="45" t="n">
        <v>207.2</v>
      </c>
      <c r="G400" s="24" t="n">
        <v>232</v>
      </c>
      <c r="H400" s="46" t="n">
        <v>9205.15</v>
      </c>
      <c r="I400" s="6" t="s">
        <v>594</v>
      </c>
    </row>
    <row r="401" customFormat="false" ht="15" hidden="false" customHeight="false" outlineLevel="0" collapsed="false">
      <c r="A401" s="5" t="s">
        <v>651</v>
      </c>
      <c r="B401" s="5" t="s">
        <v>343</v>
      </c>
      <c r="C401" s="5" t="s">
        <v>648</v>
      </c>
      <c r="D401" s="5" t="s">
        <v>587</v>
      </c>
      <c r="E401" s="5" t="s">
        <v>588</v>
      </c>
      <c r="F401" s="45" t="n">
        <v>1132</v>
      </c>
      <c r="G401" s="24" t="n">
        <v>240</v>
      </c>
      <c r="H401" s="46" t="n">
        <v>7820.18</v>
      </c>
      <c r="I401" s="6" t="s">
        <v>595</v>
      </c>
    </row>
    <row r="402" customFormat="false" ht="15" hidden="false" customHeight="false" outlineLevel="0" collapsed="false">
      <c r="A402" s="5" t="s">
        <v>651</v>
      </c>
      <c r="B402" s="5" t="s">
        <v>356</v>
      </c>
      <c r="C402" s="5" t="s">
        <v>648</v>
      </c>
      <c r="D402" s="5" t="s">
        <v>587</v>
      </c>
      <c r="E402" s="5" t="s">
        <v>588</v>
      </c>
      <c r="F402" s="45" t="n">
        <v>3527.6</v>
      </c>
      <c r="G402" s="24" t="n">
        <v>639</v>
      </c>
      <c r="H402" s="46" t="n">
        <v>21817.53</v>
      </c>
      <c r="I402" s="6" t="s">
        <v>596</v>
      </c>
    </row>
    <row r="403" customFormat="false" ht="15" hidden="false" customHeight="false" outlineLevel="0" collapsed="false">
      <c r="A403" s="5" t="s">
        <v>651</v>
      </c>
      <c r="B403" s="5" t="s">
        <v>369</v>
      </c>
      <c r="C403" s="5" t="s">
        <v>648</v>
      </c>
      <c r="D403" s="5" t="s">
        <v>587</v>
      </c>
      <c r="E403" s="5" t="s">
        <v>588</v>
      </c>
      <c r="F403" s="45" t="n">
        <v>906.5</v>
      </c>
      <c r="G403" s="24" t="n">
        <v>128</v>
      </c>
      <c r="H403" s="46" t="n">
        <v>1654.93</v>
      </c>
      <c r="I403" s="6" t="s">
        <v>597</v>
      </c>
    </row>
    <row r="404" customFormat="false" ht="15" hidden="false" customHeight="false" outlineLevel="0" collapsed="false">
      <c r="A404" s="5" t="s">
        <v>652</v>
      </c>
      <c r="B404" s="5" t="s">
        <v>291</v>
      </c>
      <c r="C404" s="5" t="s">
        <v>648</v>
      </c>
      <c r="D404" s="5" t="s">
        <v>587</v>
      </c>
      <c r="E404" s="5" t="s">
        <v>600</v>
      </c>
      <c r="F404" s="45" t="n">
        <v>3044.8</v>
      </c>
      <c r="G404" s="24" t="n">
        <v>579</v>
      </c>
      <c r="H404" s="46" t="n">
        <v>51821.82</v>
      </c>
      <c r="I404" s="6" t="s">
        <v>591</v>
      </c>
    </row>
    <row r="405" customFormat="false" ht="15" hidden="false" customHeight="false" outlineLevel="0" collapsed="false">
      <c r="A405" s="5" t="s">
        <v>652</v>
      </c>
      <c r="B405" s="5" t="s">
        <v>304</v>
      </c>
      <c r="C405" s="5" t="s">
        <v>648</v>
      </c>
      <c r="D405" s="5" t="s">
        <v>587</v>
      </c>
      <c r="E405" s="5" t="s">
        <v>600</v>
      </c>
      <c r="F405" s="45" t="n">
        <v>3095.8</v>
      </c>
      <c r="G405" s="24" t="n">
        <v>567</v>
      </c>
      <c r="H405" s="46" t="n">
        <v>47981.56</v>
      </c>
      <c r="I405" s="6" t="s">
        <v>592</v>
      </c>
    </row>
    <row r="406" customFormat="false" ht="15" hidden="false" customHeight="false" outlineLevel="0" collapsed="false">
      <c r="A406" s="5" t="s">
        <v>652</v>
      </c>
      <c r="B406" s="5" t="s">
        <v>317</v>
      </c>
      <c r="C406" s="5" t="s">
        <v>648</v>
      </c>
      <c r="D406" s="5" t="s">
        <v>587</v>
      </c>
      <c r="E406" s="5" t="s">
        <v>600</v>
      </c>
      <c r="F406" s="45" t="n">
        <v>900.5</v>
      </c>
      <c r="G406" s="24" t="n">
        <v>427</v>
      </c>
      <c r="H406" s="46" t="n">
        <v>59765.29</v>
      </c>
      <c r="I406" s="6" t="s">
        <v>593</v>
      </c>
    </row>
    <row r="407" customFormat="false" ht="15" hidden="false" customHeight="false" outlineLevel="0" collapsed="false">
      <c r="A407" s="5" t="s">
        <v>652</v>
      </c>
      <c r="B407" s="5" t="s">
        <v>330</v>
      </c>
      <c r="C407" s="5" t="s">
        <v>648</v>
      </c>
      <c r="D407" s="5" t="s">
        <v>587</v>
      </c>
      <c r="E407" s="5" t="s">
        <v>600</v>
      </c>
      <c r="F407" s="45" t="n">
        <v>641.2</v>
      </c>
      <c r="G407" s="24" t="n">
        <v>404</v>
      </c>
      <c r="H407" s="46" t="n">
        <v>26601.36</v>
      </c>
      <c r="I407" s="6" t="s">
        <v>594</v>
      </c>
    </row>
    <row r="408" customFormat="false" ht="15" hidden="false" customHeight="false" outlineLevel="0" collapsed="false">
      <c r="A408" s="5" t="s">
        <v>652</v>
      </c>
      <c r="B408" s="5" t="s">
        <v>343</v>
      </c>
      <c r="C408" s="5" t="s">
        <v>648</v>
      </c>
      <c r="D408" s="5" t="s">
        <v>587</v>
      </c>
      <c r="E408" s="5" t="s">
        <v>600</v>
      </c>
      <c r="F408" s="45" t="n">
        <v>6118.3</v>
      </c>
      <c r="G408" s="24" t="n">
        <v>346</v>
      </c>
      <c r="H408" s="46" t="n">
        <v>13927.62</v>
      </c>
      <c r="I408" s="6" t="s">
        <v>595</v>
      </c>
    </row>
    <row r="409" customFormat="false" ht="15" hidden="false" customHeight="false" outlineLevel="0" collapsed="false">
      <c r="A409" s="5" t="s">
        <v>652</v>
      </c>
      <c r="B409" s="5" t="s">
        <v>356</v>
      </c>
      <c r="C409" s="5" t="s">
        <v>648</v>
      </c>
      <c r="D409" s="5" t="s">
        <v>587</v>
      </c>
      <c r="E409" s="5" t="s">
        <v>600</v>
      </c>
      <c r="F409" s="45" t="n">
        <v>3056.7</v>
      </c>
      <c r="G409" s="24" t="n">
        <v>661</v>
      </c>
      <c r="H409" s="46" t="n">
        <v>26364.81</v>
      </c>
      <c r="I409" s="6" t="s">
        <v>596</v>
      </c>
    </row>
    <row r="410" customFormat="false" ht="15" hidden="false" customHeight="false" outlineLevel="0" collapsed="false">
      <c r="A410" s="5" t="s">
        <v>652</v>
      </c>
      <c r="B410" s="5" t="s">
        <v>369</v>
      </c>
      <c r="C410" s="5" t="s">
        <v>648</v>
      </c>
      <c r="D410" s="5" t="s">
        <v>587</v>
      </c>
      <c r="E410" s="5" t="s">
        <v>600</v>
      </c>
      <c r="F410" s="45" t="n">
        <v>1047.2</v>
      </c>
      <c r="G410" s="24" t="n">
        <v>92</v>
      </c>
      <c r="H410" s="46" t="n">
        <v>3119.38</v>
      </c>
      <c r="I410" s="6" t="s">
        <v>597</v>
      </c>
    </row>
    <row r="411" customFormat="false" ht="15" hidden="false" customHeight="false" outlineLevel="0" collapsed="false">
      <c r="A411" s="5" t="s">
        <v>653</v>
      </c>
      <c r="B411" s="5" t="s">
        <v>278</v>
      </c>
      <c r="C411" s="5" t="s">
        <v>654</v>
      </c>
      <c r="D411" s="5" t="s">
        <v>587</v>
      </c>
      <c r="E411" s="5" t="s">
        <v>607</v>
      </c>
      <c r="F411" s="45" t="n">
        <v>17</v>
      </c>
      <c r="G411" s="24" t="n">
        <v>16</v>
      </c>
      <c r="H411" s="46" t="n">
        <v>222304.13</v>
      </c>
      <c r="I411" s="6" t="s">
        <v>590</v>
      </c>
    </row>
    <row r="412" customFormat="false" ht="15" hidden="false" customHeight="false" outlineLevel="0" collapsed="false">
      <c r="A412" s="5" t="s">
        <v>655</v>
      </c>
      <c r="B412" s="5" t="s">
        <v>265</v>
      </c>
      <c r="C412" s="5" t="s">
        <v>654</v>
      </c>
      <c r="D412" s="5" t="s">
        <v>587</v>
      </c>
      <c r="E412" s="5" t="s">
        <v>611</v>
      </c>
      <c r="F412" s="45" t="n">
        <v>17</v>
      </c>
      <c r="G412" s="24" t="n">
        <v>20</v>
      </c>
      <c r="H412" s="46" t="n">
        <v>1942.97</v>
      </c>
      <c r="I412" s="6" t="s">
        <v>589</v>
      </c>
    </row>
    <row r="413" customFormat="false" ht="15" hidden="false" customHeight="false" outlineLevel="0" collapsed="false">
      <c r="A413" s="5" t="s">
        <v>655</v>
      </c>
      <c r="B413" s="5" t="s">
        <v>278</v>
      </c>
      <c r="C413" s="5" t="s">
        <v>654</v>
      </c>
      <c r="D413" s="5" t="s">
        <v>587</v>
      </c>
      <c r="E413" s="5" t="s">
        <v>611</v>
      </c>
      <c r="F413" s="45" t="n">
        <v>85</v>
      </c>
      <c r="G413" s="24" t="n">
        <v>80</v>
      </c>
      <c r="H413" s="46" t="n">
        <v>37378.65</v>
      </c>
      <c r="I413" s="6" t="s">
        <v>590</v>
      </c>
    </row>
    <row r="414" customFormat="false" ht="15" hidden="false" customHeight="false" outlineLevel="0" collapsed="false">
      <c r="A414" s="5" t="s">
        <v>655</v>
      </c>
      <c r="B414" s="5" t="s">
        <v>291</v>
      </c>
      <c r="C414" s="5" t="s">
        <v>654</v>
      </c>
      <c r="D414" s="5" t="s">
        <v>587</v>
      </c>
      <c r="E414" s="5" t="s">
        <v>611</v>
      </c>
      <c r="F414" s="45" t="n">
        <v>28</v>
      </c>
      <c r="G414" s="24" t="n">
        <v>20</v>
      </c>
      <c r="H414" s="46" t="n">
        <v>279.77</v>
      </c>
      <c r="I414" s="6" t="s">
        <v>591</v>
      </c>
    </row>
    <row r="415" customFormat="false" ht="15" hidden="false" customHeight="false" outlineLevel="0" collapsed="false">
      <c r="A415" s="5" t="s">
        <v>656</v>
      </c>
      <c r="B415" s="5" t="s">
        <v>265</v>
      </c>
      <c r="C415" s="5" t="s">
        <v>654</v>
      </c>
      <c r="D415" s="5" t="s">
        <v>599</v>
      </c>
      <c r="E415" s="5" t="s">
        <v>601</v>
      </c>
      <c r="F415" s="45" t="n">
        <v>62</v>
      </c>
      <c r="G415" s="24" t="n">
        <v>64</v>
      </c>
      <c r="H415" s="46" t="n">
        <v>25755</v>
      </c>
      <c r="I415" s="6" t="s">
        <v>589</v>
      </c>
    </row>
    <row r="416" customFormat="false" ht="15" hidden="false" customHeight="false" outlineLevel="0" collapsed="false">
      <c r="A416" s="5" t="s">
        <v>656</v>
      </c>
      <c r="B416" s="5" t="s">
        <v>278</v>
      </c>
      <c r="C416" s="5" t="s">
        <v>654</v>
      </c>
      <c r="D416" s="5" t="s">
        <v>599</v>
      </c>
      <c r="E416" s="5" t="s">
        <v>601</v>
      </c>
      <c r="F416" s="45" t="n">
        <v>27</v>
      </c>
      <c r="G416" s="24" t="n">
        <v>25</v>
      </c>
      <c r="H416" s="46" t="n">
        <v>1472.35</v>
      </c>
      <c r="I416" s="6" t="s">
        <v>590</v>
      </c>
    </row>
    <row r="417" customFormat="false" ht="15" hidden="false" customHeight="false" outlineLevel="0" collapsed="false">
      <c r="A417" s="5" t="s">
        <v>656</v>
      </c>
      <c r="B417" s="5" t="s">
        <v>291</v>
      </c>
      <c r="C417" s="5" t="s">
        <v>654</v>
      </c>
      <c r="D417" s="5" t="s">
        <v>599</v>
      </c>
      <c r="E417" s="5" t="s">
        <v>601</v>
      </c>
      <c r="F417" s="45" t="n">
        <v>55</v>
      </c>
      <c r="G417" s="24" t="n">
        <v>58</v>
      </c>
      <c r="H417" s="46" t="n">
        <v>2229.02</v>
      </c>
      <c r="I417" s="6" t="s">
        <v>591</v>
      </c>
    </row>
    <row r="418" customFormat="false" ht="15" hidden="false" customHeight="false" outlineLevel="0" collapsed="false">
      <c r="A418" s="5" t="s">
        <v>656</v>
      </c>
      <c r="B418" s="5" t="s">
        <v>304</v>
      </c>
      <c r="C418" s="5" t="s">
        <v>654</v>
      </c>
      <c r="D418" s="5" t="s">
        <v>599</v>
      </c>
      <c r="E418" s="5" t="s">
        <v>601</v>
      </c>
      <c r="F418" s="45" t="n">
        <v>14</v>
      </c>
      <c r="G418" s="24" t="n">
        <v>13</v>
      </c>
      <c r="H418" s="46" t="n">
        <v>86.51</v>
      </c>
      <c r="I418" s="6" t="s">
        <v>592</v>
      </c>
    </row>
    <row r="419" customFormat="false" ht="15" hidden="false" customHeight="false" outlineLevel="0" collapsed="false">
      <c r="A419" s="5" t="s">
        <v>657</v>
      </c>
      <c r="B419" s="5" t="s">
        <v>265</v>
      </c>
      <c r="C419" s="5" t="s">
        <v>654</v>
      </c>
      <c r="D419" s="5" t="s">
        <v>587</v>
      </c>
      <c r="E419" s="5" t="s">
        <v>607</v>
      </c>
      <c r="F419" s="45" t="n">
        <v>265</v>
      </c>
      <c r="G419" s="24" t="n">
        <v>12</v>
      </c>
      <c r="H419" s="46" t="n">
        <v>313.18</v>
      </c>
      <c r="I419" s="6" t="s">
        <v>589</v>
      </c>
    </row>
    <row r="420" customFormat="false" ht="15" hidden="false" customHeight="false" outlineLevel="0" collapsed="false">
      <c r="A420" s="5" t="s">
        <v>658</v>
      </c>
      <c r="B420" s="5" t="s">
        <v>265</v>
      </c>
      <c r="C420" s="5" t="s">
        <v>654</v>
      </c>
      <c r="D420" s="5" t="s">
        <v>587</v>
      </c>
      <c r="E420" s="5" t="s">
        <v>611</v>
      </c>
      <c r="F420" s="45" t="n">
        <v>157</v>
      </c>
      <c r="G420" s="24" t="n">
        <v>109</v>
      </c>
      <c r="H420" s="46" t="n">
        <v>843.11</v>
      </c>
      <c r="I420" s="6" t="s">
        <v>589</v>
      </c>
    </row>
    <row r="421" customFormat="false" ht="15" hidden="false" customHeight="false" outlineLevel="0" collapsed="false">
      <c r="A421" s="5" t="s">
        <v>658</v>
      </c>
      <c r="B421" s="5" t="s">
        <v>278</v>
      </c>
      <c r="C421" s="5" t="s">
        <v>654</v>
      </c>
      <c r="D421" s="5" t="s">
        <v>587</v>
      </c>
      <c r="E421" s="5" t="s">
        <v>611</v>
      </c>
      <c r="F421" s="45" t="n">
        <v>19</v>
      </c>
      <c r="G421" s="24" t="n">
        <v>15</v>
      </c>
      <c r="H421" s="46" t="n">
        <v>790</v>
      </c>
      <c r="I421" s="6" t="s">
        <v>590</v>
      </c>
    </row>
    <row r="422" customFormat="false" ht="15" hidden="false" customHeight="false" outlineLevel="0" collapsed="false">
      <c r="A422" s="5" t="s">
        <v>658</v>
      </c>
      <c r="B422" s="5" t="s">
        <v>291</v>
      </c>
      <c r="C422" s="5" t="s">
        <v>654</v>
      </c>
      <c r="D422" s="5" t="s">
        <v>587</v>
      </c>
      <c r="E422" s="5" t="s">
        <v>611</v>
      </c>
      <c r="F422" s="45" t="n">
        <v>31</v>
      </c>
      <c r="G422" s="24" t="n">
        <v>26</v>
      </c>
      <c r="H422" s="46" t="n">
        <v>83.99</v>
      </c>
      <c r="I422" s="6" t="s">
        <v>591</v>
      </c>
    </row>
    <row r="423" customFormat="false" ht="15" hidden="false" customHeight="false" outlineLevel="0" collapsed="false">
      <c r="A423" s="5" t="s">
        <v>659</v>
      </c>
      <c r="B423" s="5" t="s">
        <v>265</v>
      </c>
      <c r="C423" s="5" t="s">
        <v>660</v>
      </c>
      <c r="D423" s="5" t="s">
        <v>620</v>
      </c>
      <c r="E423" s="5" t="s">
        <v>640</v>
      </c>
      <c r="F423" s="45" t="n">
        <v>20999.2</v>
      </c>
      <c r="G423" s="24" t="n">
        <v>13967</v>
      </c>
      <c r="H423" s="46" t="n">
        <v>190527.31</v>
      </c>
      <c r="I423" s="6" t="s">
        <v>589</v>
      </c>
    </row>
    <row r="424" customFormat="false" ht="15" hidden="false" customHeight="false" outlineLevel="0" collapsed="false">
      <c r="A424" s="5" t="s">
        <v>659</v>
      </c>
      <c r="B424" s="5" t="s">
        <v>278</v>
      </c>
      <c r="C424" s="5" t="s">
        <v>660</v>
      </c>
      <c r="D424" s="5" t="s">
        <v>620</v>
      </c>
      <c r="E424" s="5" t="s">
        <v>640</v>
      </c>
      <c r="F424" s="45" t="n">
        <v>29509.9</v>
      </c>
      <c r="G424" s="24" t="n">
        <v>22512</v>
      </c>
      <c r="H424" s="46" t="n">
        <v>347766.1</v>
      </c>
      <c r="I424" s="6" t="s">
        <v>590</v>
      </c>
    </row>
    <row r="425" customFormat="false" ht="15" hidden="false" customHeight="false" outlineLevel="0" collapsed="false">
      <c r="A425" s="5" t="s">
        <v>659</v>
      </c>
      <c r="B425" s="5" t="s">
        <v>291</v>
      </c>
      <c r="C425" s="5" t="s">
        <v>660</v>
      </c>
      <c r="D425" s="5" t="s">
        <v>620</v>
      </c>
      <c r="E425" s="5" t="s">
        <v>640</v>
      </c>
      <c r="F425" s="45" t="n">
        <v>31687.5</v>
      </c>
      <c r="G425" s="24" t="n">
        <v>23128</v>
      </c>
      <c r="H425" s="46" t="n">
        <v>345271.83</v>
      </c>
      <c r="I425" s="6" t="s">
        <v>591</v>
      </c>
    </row>
    <row r="426" customFormat="false" ht="15" hidden="false" customHeight="false" outlineLevel="0" collapsed="false">
      <c r="A426" s="5" t="s">
        <v>659</v>
      </c>
      <c r="B426" s="5" t="s">
        <v>304</v>
      </c>
      <c r="C426" s="5" t="s">
        <v>660</v>
      </c>
      <c r="D426" s="5" t="s">
        <v>620</v>
      </c>
      <c r="E426" s="5" t="s">
        <v>640</v>
      </c>
      <c r="F426" s="45" t="n">
        <v>40602.1</v>
      </c>
      <c r="G426" s="24" t="n">
        <v>31508</v>
      </c>
      <c r="H426" s="46" t="n">
        <v>377998.79</v>
      </c>
      <c r="I426" s="6" t="s">
        <v>592</v>
      </c>
    </row>
    <row r="427" customFormat="false" ht="15" hidden="false" customHeight="false" outlineLevel="0" collapsed="false">
      <c r="A427" s="5" t="s">
        <v>659</v>
      </c>
      <c r="B427" s="5" t="s">
        <v>317</v>
      </c>
      <c r="C427" s="5" t="s">
        <v>660</v>
      </c>
      <c r="D427" s="5" t="s">
        <v>620</v>
      </c>
      <c r="E427" s="5" t="s">
        <v>640</v>
      </c>
      <c r="F427" s="45" t="n">
        <v>19976.5</v>
      </c>
      <c r="G427" s="24" t="n">
        <v>15237</v>
      </c>
      <c r="H427" s="46" t="n">
        <v>217677.58</v>
      </c>
      <c r="I427" s="6" t="s">
        <v>593</v>
      </c>
    </row>
    <row r="428" customFormat="false" ht="15" hidden="false" customHeight="false" outlineLevel="0" collapsed="false">
      <c r="A428" s="5" t="s">
        <v>659</v>
      </c>
      <c r="B428" s="5" t="s">
        <v>330</v>
      </c>
      <c r="C428" s="5" t="s">
        <v>660</v>
      </c>
      <c r="D428" s="5" t="s">
        <v>620</v>
      </c>
      <c r="E428" s="5" t="s">
        <v>640</v>
      </c>
      <c r="F428" s="45" t="n">
        <v>12739</v>
      </c>
      <c r="G428" s="24" t="n">
        <v>9540</v>
      </c>
      <c r="H428" s="46" t="n">
        <v>160440.38</v>
      </c>
      <c r="I428" s="6" t="s">
        <v>594</v>
      </c>
    </row>
    <row r="429" customFormat="false" ht="15" hidden="false" customHeight="false" outlineLevel="0" collapsed="false">
      <c r="A429" s="5" t="s">
        <v>659</v>
      </c>
      <c r="B429" s="5" t="s">
        <v>343</v>
      </c>
      <c r="C429" s="5" t="s">
        <v>660</v>
      </c>
      <c r="D429" s="5" t="s">
        <v>620</v>
      </c>
      <c r="E429" s="5" t="s">
        <v>640</v>
      </c>
      <c r="F429" s="45" t="n">
        <v>9689.5</v>
      </c>
      <c r="G429" s="24" t="n">
        <v>449</v>
      </c>
      <c r="H429" s="46" t="n">
        <v>11522.29</v>
      </c>
      <c r="I429" s="6" t="s">
        <v>595</v>
      </c>
    </row>
    <row r="430" customFormat="false" ht="15" hidden="false" customHeight="false" outlineLevel="0" collapsed="false">
      <c r="A430" s="5" t="s">
        <v>659</v>
      </c>
      <c r="B430" s="5" t="s">
        <v>356</v>
      </c>
      <c r="C430" s="5" t="s">
        <v>660</v>
      </c>
      <c r="D430" s="5" t="s">
        <v>620</v>
      </c>
      <c r="E430" s="5" t="s">
        <v>640</v>
      </c>
      <c r="F430" s="45" t="n">
        <v>9397</v>
      </c>
      <c r="G430" s="24" t="n">
        <v>126</v>
      </c>
      <c r="H430" s="46" t="n">
        <v>1582.48</v>
      </c>
      <c r="I430" s="6" t="s">
        <v>596</v>
      </c>
    </row>
    <row r="431" customFormat="false" ht="15" hidden="false" customHeight="false" outlineLevel="0" collapsed="false">
      <c r="A431" s="5" t="s">
        <v>659</v>
      </c>
      <c r="B431" s="5" t="s">
        <v>369</v>
      </c>
      <c r="C431" s="5" t="s">
        <v>660</v>
      </c>
      <c r="D431" s="5" t="s">
        <v>620</v>
      </c>
      <c r="E431" s="5" t="s">
        <v>640</v>
      </c>
      <c r="F431" s="45" t="n">
        <v>367.1</v>
      </c>
      <c r="G431" s="24" t="n">
        <v>16</v>
      </c>
      <c r="H431" s="46" t="n">
        <v>88.44</v>
      </c>
      <c r="I431" s="6" t="s">
        <v>597</v>
      </c>
    </row>
    <row r="432" customFormat="false" ht="15" hidden="false" customHeight="false" outlineLevel="0" collapsed="false">
      <c r="A432" s="5" t="s">
        <v>661</v>
      </c>
      <c r="B432" s="5" t="s">
        <v>265</v>
      </c>
      <c r="C432" s="5" t="s">
        <v>660</v>
      </c>
      <c r="D432" s="5" t="s">
        <v>620</v>
      </c>
      <c r="E432" s="5" t="s">
        <v>640</v>
      </c>
      <c r="F432" s="45" t="n">
        <v>10358.2</v>
      </c>
      <c r="G432" s="24" t="n">
        <v>6379</v>
      </c>
      <c r="H432" s="46" t="n">
        <v>548923.26</v>
      </c>
      <c r="I432" s="6" t="s">
        <v>589</v>
      </c>
    </row>
    <row r="433" customFormat="false" ht="15" hidden="false" customHeight="false" outlineLevel="0" collapsed="false">
      <c r="A433" s="5" t="s">
        <v>661</v>
      </c>
      <c r="B433" s="5" t="s">
        <v>278</v>
      </c>
      <c r="C433" s="5" t="s">
        <v>660</v>
      </c>
      <c r="D433" s="5" t="s">
        <v>620</v>
      </c>
      <c r="E433" s="5" t="s">
        <v>640</v>
      </c>
      <c r="F433" s="45" t="n">
        <v>16610.4</v>
      </c>
      <c r="G433" s="24" t="n">
        <v>12282</v>
      </c>
      <c r="H433" s="46" t="n">
        <v>515756.71</v>
      </c>
      <c r="I433" s="6" t="s">
        <v>590</v>
      </c>
    </row>
    <row r="434" customFormat="false" ht="15" hidden="false" customHeight="false" outlineLevel="0" collapsed="false">
      <c r="A434" s="5" t="s">
        <v>661</v>
      </c>
      <c r="B434" s="5" t="s">
        <v>291</v>
      </c>
      <c r="C434" s="5" t="s">
        <v>660</v>
      </c>
      <c r="D434" s="5" t="s">
        <v>620</v>
      </c>
      <c r="E434" s="5" t="s">
        <v>640</v>
      </c>
      <c r="F434" s="45" t="n">
        <v>17752.3</v>
      </c>
      <c r="G434" s="24" t="n">
        <v>11823</v>
      </c>
      <c r="H434" s="46" t="n">
        <v>288919.79</v>
      </c>
      <c r="I434" s="6" t="s">
        <v>591</v>
      </c>
    </row>
    <row r="435" customFormat="false" ht="15" hidden="false" customHeight="false" outlineLevel="0" collapsed="false">
      <c r="A435" s="5" t="s">
        <v>661</v>
      </c>
      <c r="B435" s="5" t="s">
        <v>304</v>
      </c>
      <c r="C435" s="5" t="s">
        <v>660</v>
      </c>
      <c r="D435" s="5" t="s">
        <v>620</v>
      </c>
      <c r="E435" s="5" t="s">
        <v>640</v>
      </c>
      <c r="F435" s="45" t="n">
        <v>21417.7</v>
      </c>
      <c r="G435" s="24" t="n">
        <v>14123</v>
      </c>
      <c r="H435" s="46" t="n">
        <v>332994.89</v>
      </c>
      <c r="I435" s="6" t="s">
        <v>592</v>
      </c>
    </row>
    <row r="436" customFormat="false" ht="15" hidden="false" customHeight="false" outlineLevel="0" collapsed="false">
      <c r="A436" s="5" t="s">
        <v>661</v>
      </c>
      <c r="B436" s="5" t="s">
        <v>317</v>
      </c>
      <c r="C436" s="5" t="s">
        <v>660</v>
      </c>
      <c r="D436" s="5" t="s">
        <v>620</v>
      </c>
      <c r="E436" s="5" t="s">
        <v>640</v>
      </c>
      <c r="F436" s="45" t="n">
        <v>14382.1</v>
      </c>
      <c r="G436" s="24" t="n">
        <v>7564</v>
      </c>
      <c r="H436" s="46" t="n">
        <v>259903.39</v>
      </c>
      <c r="I436" s="6" t="s">
        <v>593</v>
      </c>
    </row>
    <row r="437" customFormat="false" ht="15" hidden="false" customHeight="false" outlineLevel="0" collapsed="false">
      <c r="A437" s="5" t="s">
        <v>661</v>
      </c>
      <c r="B437" s="5" t="s">
        <v>330</v>
      </c>
      <c r="C437" s="5" t="s">
        <v>660</v>
      </c>
      <c r="D437" s="5" t="s">
        <v>620</v>
      </c>
      <c r="E437" s="5" t="s">
        <v>640</v>
      </c>
      <c r="F437" s="45" t="n">
        <v>7918.6</v>
      </c>
      <c r="G437" s="24" t="n">
        <v>4500</v>
      </c>
      <c r="H437" s="46" t="n">
        <v>124029.22</v>
      </c>
      <c r="I437" s="6" t="s">
        <v>594</v>
      </c>
    </row>
    <row r="438" customFormat="false" ht="15" hidden="false" customHeight="false" outlineLevel="0" collapsed="false">
      <c r="A438" s="5" t="s">
        <v>661</v>
      </c>
      <c r="B438" s="5" t="s">
        <v>343</v>
      </c>
      <c r="C438" s="5" t="s">
        <v>660</v>
      </c>
      <c r="D438" s="5" t="s">
        <v>620</v>
      </c>
      <c r="E438" s="5" t="s">
        <v>640</v>
      </c>
      <c r="F438" s="45" t="n">
        <v>368</v>
      </c>
      <c r="G438" s="24" t="n">
        <v>314</v>
      </c>
      <c r="H438" s="46" t="n">
        <v>2426.64</v>
      </c>
      <c r="I438" s="6" t="s">
        <v>595</v>
      </c>
    </row>
    <row r="439" customFormat="false" ht="15" hidden="false" customHeight="false" outlineLevel="0" collapsed="false">
      <c r="A439" s="5" t="s">
        <v>662</v>
      </c>
      <c r="B439" s="5" t="s">
        <v>265</v>
      </c>
      <c r="C439" s="5" t="s">
        <v>660</v>
      </c>
      <c r="D439" s="5" t="s">
        <v>620</v>
      </c>
      <c r="E439" s="5" t="s">
        <v>623</v>
      </c>
      <c r="F439" s="45" t="n">
        <v>11291.2</v>
      </c>
      <c r="G439" s="24" t="n">
        <v>7173</v>
      </c>
      <c r="H439" s="46" t="n">
        <v>152660.95</v>
      </c>
      <c r="I439" s="6" t="s">
        <v>589</v>
      </c>
    </row>
    <row r="440" customFormat="false" ht="15" hidden="false" customHeight="false" outlineLevel="0" collapsed="false">
      <c r="A440" s="5" t="s">
        <v>662</v>
      </c>
      <c r="B440" s="5" t="s">
        <v>278</v>
      </c>
      <c r="C440" s="5" t="s">
        <v>660</v>
      </c>
      <c r="D440" s="5" t="s">
        <v>620</v>
      </c>
      <c r="E440" s="5" t="s">
        <v>623</v>
      </c>
      <c r="F440" s="45" t="n">
        <v>18477.5</v>
      </c>
      <c r="G440" s="24" t="n">
        <v>10844</v>
      </c>
      <c r="H440" s="46" t="n">
        <v>148264.74</v>
      </c>
      <c r="I440" s="6" t="s">
        <v>590</v>
      </c>
    </row>
    <row r="441" customFormat="false" ht="15" hidden="false" customHeight="false" outlineLevel="0" collapsed="false">
      <c r="A441" s="5" t="s">
        <v>662</v>
      </c>
      <c r="B441" s="5" t="s">
        <v>291</v>
      </c>
      <c r="C441" s="5" t="s">
        <v>660</v>
      </c>
      <c r="D441" s="5" t="s">
        <v>620</v>
      </c>
      <c r="E441" s="5" t="s">
        <v>623</v>
      </c>
      <c r="F441" s="45" t="n">
        <v>21744.8</v>
      </c>
      <c r="G441" s="24" t="n">
        <v>11312</v>
      </c>
      <c r="H441" s="46" t="n">
        <v>115232.11</v>
      </c>
      <c r="I441" s="6" t="s">
        <v>591</v>
      </c>
    </row>
    <row r="442" customFormat="false" ht="15" hidden="false" customHeight="false" outlineLevel="0" collapsed="false">
      <c r="A442" s="5" t="s">
        <v>662</v>
      </c>
      <c r="B442" s="5" t="s">
        <v>304</v>
      </c>
      <c r="C442" s="5" t="s">
        <v>660</v>
      </c>
      <c r="D442" s="5" t="s">
        <v>620</v>
      </c>
      <c r="E442" s="5" t="s">
        <v>623</v>
      </c>
      <c r="F442" s="45" t="n">
        <v>32069.7</v>
      </c>
      <c r="G442" s="24" t="n">
        <v>14876</v>
      </c>
      <c r="H442" s="46" t="n">
        <v>166353.24</v>
      </c>
      <c r="I442" s="6" t="s">
        <v>592</v>
      </c>
    </row>
    <row r="443" customFormat="false" ht="15" hidden="false" customHeight="false" outlineLevel="0" collapsed="false">
      <c r="A443" s="5" t="s">
        <v>662</v>
      </c>
      <c r="B443" s="5" t="s">
        <v>317</v>
      </c>
      <c r="C443" s="5" t="s">
        <v>660</v>
      </c>
      <c r="D443" s="5" t="s">
        <v>620</v>
      </c>
      <c r="E443" s="5" t="s">
        <v>623</v>
      </c>
      <c r="F443" s="45" t="n">
        <v>17078.9</v>
      </c>
      <c r="G443" s="24" t="n">
        <v>8465</v>
      </c>
      <c r="H443" s="46" t="n">
        <v>109438.31</v>
      </c>
      <c r="I443" s="6" t="s">
        <v>593</v>
      </c>
    </row>
    <row r="444" customFormat="false" ht="15" hidden="false" customHeight="false" outlineLevel="0" collapsed="false">
      <c r="A444" s="5" t="s">
        <v>662</v>
      </c>
      <c r="B444" s="5" t="s">
        <v>330</v>
      </c>
      <c r="C444" s="5" t="s">
        <v>660</v>
      </c>
      <c r="D444" s="5" t="s">
        <v>620</v>
      </c>
      <c r="E444" s="5" t="s">
        <v>623</v>
      </c>
      <c r="F444" s="45" t="n">
        <v>12660.2</v>
      </c>
      <c r="G444" s="24" t="n">
        <v>5400</v>
      </c>
      <c r="H444" s="46" t="n">
        <v>73508.91</v>
      </c>
      <c r="I444" s="6" t="s">
        <v>594</v>
      </c>
    </row>
    <row r="445" customFormat="false" ht="15" hidden="false" customHeight="false" outlineLevel="0" collapsed="false">
      <c r="A445" s="5" t="s">
        <v>662</v>
      </c>
      <c r="B445" s="5" t="s">
        <v>343</v>
      </c>
      <c r="C445" s="5" t="s">
        <v>660</v>
      </c>
      <c r="D445" s="5" t="s">
        <v>620</v>
      </c>
      <c r="E445" s="5" t="s">
        <v>623</v>
      </c>
      <c r="F445" s="45" t="n">
        <v>175.5</v>
      </c>
      <c r="G445" s="24" t="n">
        <v>113</v>
      </c>
      <c r="H445" s="46" t="n">
        <v>1095.88</v>
      </c>
      <c r="I445" s="6" t="s">
        <v>595</v>
      </c>
    </row>
    <row r="446" customFormat="false" ht="15" hidden="false" customHeight="false" outlineLevel="0" collapsed="false">
      <c r="A446" s="5" t="s">
        <v>663</v>
      </c>
      <c r="B446" s="5" t="s">
        <v>265</v>
      </c>
      <c r="C446" s="5" t="s">
        <v>660</v>
      </c>
      <c r="D446" s="5" t="s">
        <v>620</v>
      </c>
      <c r="E446" s="5" t="s">
        <v>625</v>
      </c>
      <c r="F446" s="45" t="n">
        <v>37614.1</v>
      </c>
      <c r="G446" s="24" t="n">
        <v>26030</v>
      </c>
      <c r="H446" s="46" t="n">
        <v>475100.62</v>
      </c>
      <c r="I446" s="6" t="s">
        <v>589</v>
      </c>
    </row>
    <row r="447" customFormat="false" ht="15" hidden="false" customHeight="false" outlineLevel="0" collapsed="false">
      <c r="A447" s="5" t="s">
        <v>663</v>
      </c>
      <c r="B447" s="5" t="s">
        <v>278</v>
      </c>
      <c r="C447" s="5" t="s">
        <v>660</v>
      </c>
      <c r="D447" s="5" t="s">
        <v>620</v>
      </c>
      <c r="E447" s="5" t="s">
        <v>625</v>
      </c>
      <c r="F447" s="45" t="n">
        <v>76108.2</v>
      </c>
      <c r="G447" s="24" t="n">
        <v>57714</v>
      </c>
      <c r="H447" s="46" t="n">
        <v>676541.07</v>
      </c>
      <c r="I447" s="6" t="s">
        <v>590</v>
      </c>
    </row>
    <row r="448" customFormat="false" ht="15" hidden="false" customHeight="false" outlineLevel="0" collapsed="false">
      <c r="A448" s="5" t="s">
        <v>663</v>
      </c>
      <c r="B448" s="5" t="s">
        <v>291</v>
      </c>
      <c r="C448" s="5" t="s">
        <v>660</v>
      </c>
      <c r="D448" s="5" t="s">
        <v>620</v>
      </c>
      <c r="E448" s="5" t="s">
        <v>625</v>
      </c>
      <c r="F448" s="45" t="n">
        <v>87331.8</v>
      </c>
      <c r="G448" s="24" t="n">
        <v>64302</v>
      </c>
      <c r="H448" s="46" t="n">
        <v>679603.73</v>
      </c>
      <c r="I448" s="6" t="s">
        <v>591</v>
      </c>
    </row>
    <row r="449" customFormat="false" ht="15" hidden="false" customHeight="false" outlineLevel="0" collapsed="false">
      <c r="A449" s="5" t="s">
        <v>663</v>
      </c>
      <c r="B449" s="5" t="s">
        <v>304</v>
      </c>
      <c r="C449" s="5" t="s">
        <v>660</v>
      </c>
      <c r="D449" s="5" t="s">
        <v>620</v>
      </c>
      <c r="E449" s="5" t="s">
        <v>625</v>
      </c>
      <c r="F449" s="45" t="n">
        <v>126360.4</v>
      </c>
      <c r="G449" s="24" t="n">
        <v>77850</v>
      </c>
      <c r="H449" s="46" t="n">
        <v>809625.43</v>
      </c>
      <c r="I449" s="6" t="s">
        <v>592</v>
      </c>
    </row>
    <row r="450" customFormat="false" ht="15" hidden="false" customHeight="false" outlineLevel="0" collapsed="false">
      <c r="A450" s="5" t="s">
        <v>663</v>
      </c>
      <c r="B450" s="5" t="s">
        <v>317</v>
      </c>
      <c r="C450" s="5" t="s">
        <v>660</v>
      </c>
      <c r="D450" s="5" t="s">
        <v>620</v>
      </c>
      <c r="E450" s="5" t="s">
        <v>625</v>
      </c>
      <c r="F450" s="45" t="n">
        <v>63095.3</v>
      </c>
      <c r="G450" s="24" t="n">
        <v>33298</v>
      </c>
      <c r="H450" s="46" t="n">
        <v>497652.36</v>
      </c>
      <c r="I450" s="6" t="s">
        <v>593</v>
      </c>
    </row>
    <row r="451" customFormat="false" ht="15" hidden="false" customHeight="false" outlineLevel="0" collapsed="false">
      <c r="A451" s="5" t="s">
        <v>663</v>
      </c>
      <c r="B451" s="5" t="s">
        <v>330</v>
      </c>
      <c r="C451" s="5" t="s">
        <v>660</v>
      </c>
      <c r="D451" s="5" t="s">
        <v>620</v>
      </c>
      <c r="E451" s="5" t="s">
        <v>625</v>
      </c>
      <c r="F451" s="45" t="n">
        <v>25242.3</v>
      </c>
      <c r="G451" s="24" t="n">
        <v>16056</v>
      </c>
      <c r="H451" s="46" t="n">
        <v>251066.46</v>
      </c>
      <c r="I451" s="6" t="s">
        <v>594</v>
      </c>
    </row>
    <row r="452" customFormat="false" ht="15" hidden="false" customHeight="false" outlineLevel="0" collapsed="false">
      <c r="A452" s="5" t="s">
        <v>663</v>
      </c>
      <c r="B452" s="5" t="s">
        <v>343</v>
      </c>
      <c r="C452" s="5" t="s">
        <v>660</v>
      </c>
      <c r="D452" s="5" t="s">
        <v>620</v>
      </c>
      <c r="E452" s="5" t="s">
        <v>625</v>
      </c>
      <c r="F452" s="45" t="n">
        <v>683</v>
      </c>
      <c r="G452" s="24" t="n">
        <v>509</v>
      </c>
      <c r="H452" s="46" t="n">
        <v>22471.75</v>
      </c>
      <c r="I452" s="6" t="s">
        <v>595</v>
      </c>
    </row>
    <row r="453" customFormat="false" ht="15" hidden="false" customHeight="false" outlineLevel="0" collapsed="false">
      <c r="A453" s="5" t="s">
        <v>664</v>
      </c>
      <c r="B453" s="5" t="s">
        <v>265</v>
      </c>
      <c r="C453" s="5" t="s">
        <v>660</v>
      </c>
      <c r="D453" s="5" t="s">
        <v>620</v>
      </c>
      <c r="E453" s="5" t="s">
        <v>643</v>
      </c>
      <c r="F453" s="45" t="n">
        <v>18889.2</v>
      </c>
      <c r="G453" s="24" t="n">
        <v>15039</v>
      </c>
      <c r="H453" s="46" t="n">
        <v>416034.09</v>
      </c>
      <c r="I453" s="6" t="s">
        <v>589</v>
      </c>
    </row>
    <row r="454" customFormat="false" ht="15" hidden="false" customHeight="false" outlineLevel="0" collapsed="false">
      <c r="A454" s="5" t="s">
        <v>664</v>
      </c>
      <c r="B454" s="5" t="s">
        <v>278</v>
      </c>
      <c r="C454" s="5" t="s">
        <v>660</v>
      </c>
      <c r="D454" s="5" t="s">
        <v>620</v>
      </c>
      <c r="E454" s="5" t="s">
        <v>643</v>
      </c>
      <c r="F454" s="45" t="n">
        <v>29017.4</v>
      </c>
      <c r="G454" s="24" t="n">
        <v>26758</v>
      </c>
      <c r="H454" s="46" t="n">
        <v>512803.3</v>
      </c>
      <c r="I454" s="6" t="s">
        <v>590</v>
      </c>
    </row>
    <row r="455" customFormat="false" ht="15" hidden="false" customHeight="false" outlineLevel="0" collapsed="false">
      <c r="A455" s="5" t="s">
        <v>664</v>
      </c>
      <c r="B455" s="5" t="s">
        <v>291</v>
      </c>
      <c r="C455" s="5" t="s">
        <v>660</v>
      </c>
      <c r="D455" s="5" t="s">
        <v>620</v>
      </c>
      <c r="E455" s="5" t="s">
        <v>643</v>
      </c>
      <c r="F455" s="45" t="n">
        <v>36125.9</v>
      </c>
      <c r="G455" s="24" t="n">
        <v>31555</v>
      </c>
      <c r="H455" s="46" t="n">
        <v>496386.62</v>
      </c>
      <c r="I455" s="6" t="s">
        <v>591</v>
      </c>
    </row>
    <row r="456" customFormat="false" ht="15" hidden="false" customHeight="false" outlineLevel="0" collapsed="false">
      <c r="A456" s="5" t="s">
        <v>664</v>
      </c>
      <c r="B456" s="5" t="s">
        <v>304</v>
      </c>
      <c r="C456" s="5" t="s">
        <v>660</v>
      </c>
      <c r="D456" s="5" t="s">
        <v>620</v>
      </c>
      <c r="E456" s="5" t="s">
        <v>643</v>
      </c>
      <c r="F456" s="45" t="n">
        <v>41484.3</v>
      </c>
      <c r="G456" s="24" t="n">
        <v>36940</v>
      </c>
      <c r="H456" s="46" t="n">
        <v>604120.1</v>
      </c>
      <c r="I456" s="6" t="s">
        <v>592</v>
      </c>
    </row>
    <row r="457" customFormat="false" ht="15" hidden="false" customHeight="false" outlineLevel="0" collapsed="false">
      <c r="A457" s="5" t="s">
        <v>664</v>
      </c>
      <c r="B457" s="5" t="s">
        <v>317</v>
      </c>
      <c r="C457" s="5" t="s">
        <v>660</v>
      </c>
      <c r="D457" s="5" t="s">
        <v>620</v>
      </c>
      <c r="E457" s="5" t="s">
        <v>643</v>
      </c>
      <c r="F457" s="45" t="n">
        <v>17828.4</v>
      </c>
      <c r="G457" s="24" t="n">
        <v>14822</v>
      </c>
      <c r="H457" s="46" t="n">
        <v>270505.9</v>
      </c>
      <c r="I457" s="6" t="s">
        <v>593</v>
      </c>
    </row>
    <row r="458" customFormat="false" ht="15" hidden="false" customHeight="false" outlineLevel="0" collapsed="false">
      <c r="A458" s="5" t="s">
        <v>664</v>
      </c>
      <c r="B458" s="5" t="s">
        <v>330</v>
      </c>
      <c r="C458" s="5" t="s">
        <v>660</v>
      </c>
      <c r="D458" s="5" t="s">
        <v>620</v>
      </c>
      <c r="E458" s="5" t="s">
        <v>643</v>
      </c>
      <c r="F458" s="45" t="n">
        <v>12309.4</v>
      </c>
      <c r="G458" s="24" t="n">
        <v>9948</v>
      </c>
      <c r="H458" s="46" t="n">
        <v>217175.32</v>
      </c>
      <c r="I458" s="6" t="s">
        <v>594</v>
      </c>
    </row>
    <row r="459" customFormat="false" ht="15" hidden="false" customHeight="false" outlineLevel="0" collapsed="false">
      <c r="A459" s="5" t="s">
        <v>664</v>
      </c>
      <c r="B459" s="5" t="s">
        <v>343</v>
      </c>
      <c r="C459" s="5" t="s">
        <v>660</v>
      </c>
      <c r="D459" s="5" t="s">
        <v>620</v>
      </c>
      <c r="E459" s="5" t="s">
        <v>643</v>
      </c>
      <c r="F459" s="45" t="n">
        <v>397</v>
      </c>
      <c r="G459" s="24" t="n">
        <v>294</v>
      </c>
      <c r="H459" s="46" t="n">
        <v>7277.98</v>
      </c>
      <c r="I459" s="6" t="s">
        <v>595</v>
      </c>
    </row>
    <row r="460" customFormat="false" ht="15" hidden="false" customHeight="false" outlineLevel="0" collapsed="false">
      <c r="A460" s="5" t="s">
        <v>664</v>
      </c>
      <c r="B460" s="5" t="s">
        <v>356</v>
      </c>
      <c r="C460" s="5" t="s">
        <v>660</v>
      </c>
      <c r="D460" s="5" t="s">
        <v>620</v>
      </c>
      <c r="E460" s="5" t="s">
        <v>643</v>
      </c>
      <c r="F460" s="45" t="n">
        <v>4021</v>
      </c>
      <c r="G460" s="24" t="n">
        <v>64</v>
      </c>
      <c r="H460" s="46" t="n">
        <v>1795.32</v>
      </c>
      <c r="I460" s="6" t="s">
        <v>596</v>
      </c>
    </row>
    <row r="461" customFormat="false" ht="15" hidden="false" customHeight="false" outlineLevel="0" collapsed="false">
      <c r="A461" s="5" t="s">
        <v>664</v>
      </c>
      <c r="B461" s="5" t="s">
        <v>369</v>
      </c>
      <c r="C461" s="5" t="s">
        <v>660</v>
      </c>
      <c r="D461" s="5" t="s">
        <v>620</v>
      </c>
      <c r="E461" s="5" t="s">
        <v>643</v>
      </c>
      <c r="F461" s="45" t="n">
        <v>1686</v>
      </c>
      <c r="G461" s="24" t="n">
        <v>27</v>
      </c>
      <c r="H461" s="46" t="n">
        <v>919.85</v>
      </c>
      <c r="I461" s="6" t="s">
        <v>597</v>
      </c>
    </row>
    <row r="462" customFormat="false" ht="15" hidden="false" customHeight="false" outlineLevel="0" collapsed="false">
      <c r="A462" s="5" t="s">
        <v>665</v>
      </c>
      <c r="B462" s="5" t="s">
        <v>265</v>
      </c>
      <c r="C462" s="5" t="s">
        <v>660</v>
      </c>
      <c r="D462" s="5" t="s">
        <v>620</v>
      </c>
      <c r="E462" s="5" t="s">
        <v>643</v>
      </c>
      <c r="F462" s="45" t="n">
        <v>6488</v>
      </c>
      <c r="G462" s="24" t="n">
        <v>5273</v>
      </c>
      <c r="H462" s="46" t="n">
        <v>269439.04</v>
      </c>
      <c r="I462" s="6" t="s">
        <v>589</v>
      </c>
    </row>
    <row r="463" customFormat="false" ht="15" hidden="false" customHeight="false" outlineLevel="0" collapsed="false">
      <c r="A463" s="5" t="s">
        <v>665</v>
      </c>
      <c r="B463" s="5" t="s">
        <v>278</v>
      </c>
      <c r="C463" s="5" t="s">
        <v>660</v>
      </c>
      <c r="D463" s="5" t="s">
        <v>620</v>
      </c>
      <c r="E463" s="5" t="s">
        <v>643</v>
      </c>
      <c r="F463" s="45" t="n">
        <v>11693</v>
      </c>
      <c r="G463" s="24" t="n">
        <v>9386</v>
      </c>
      <c r="H463" s="46" t="n">
        <v>476771.59</v>
      </c>
      <c r="I463" s="6" t="s">
        <v>590</v>
      </c>
    </row>
    <row r="464" customFormat="false" ht="15" hidden="false" customHeight="false" outlineLevel="0" collapsed="false">
      <c r="A464" s="5" t="s">
        <v>665</v>
      </c>
      <c r="B464" s="5" t="s">
        <v>291</v>
      </c>
      <c r="C464" s="5" t="s">
        <v>660</v>
      </c>
      <c r="D464" s="5" t="s">
        <v>620</v>
      </c>
      <c r="E464" s="5" t="s">
        <v>643</v>
      </c>
      <c r="F464" s="45" t="n">
        <v>15527.2</v>
      </c>
      <c r="G464" s="24" t="n">
        <v>12911</v>
      </c>
      <c r="H464" s="46" t="n">
        <v>305166.82</v>
      </c>
      <c r="I464" s="6" t="s">
        <v>591</v>
      </c>
    </row>
    <row r="465" customFormat="false" ht="15" hidden="false" customHeight="false" outlineLevel="0" collapsed="false">
      <c r="A465" s="5" t="s">
        <v>665</v>
      </c>
      <c r="B465" s="5" t="s">
        <v>304</v>
      </c>
      <c r="C465" s="5" t="s">
        <v>660</v>
      </c>
      <c r="D465" s="5" t="s">
        <v>620</v>
      </c>
      <c r="E465" s="5" t="s">
        <v>643</v>
      </c>
      <c r="F465" s="45" t="n">
        <v>19037</v>
      </c>
      <c r="G465" s="24" t="n">
        <v>15356</v>
      </c>
      <c r="H465" s="46" t="n">
        <v>447088.16</v>
      </c>
      <c r="I465" s="6" t="s">
        <v>592</v>
      </c>
    </row>
    <row r="466" customFormat="false" ht="15" hidden="false" customHeight="false" outlineLevel="0" collapsed="false">
      <c r="A466" s="5" t="s">
        <v>665</v>
      </c>
      <c r="B466" s="5" t="s">
        <v>317</v>
      </c>
      <c r="C466" s="5" t="s">
        <v>660</v>
      </c>
      <c r="D466" s="5" t="s">
        <v>620</v>
      </c>
      <c r="E466" s="5" t="s">
        <v>643</v>
      </c>
      <c r="F466" s="45" t="n">
        <v>9961.7</v>
      </c>
      <c r="G466" s="24" t="n">
        <v>8983</v>
      </c>
      <c r="H466" s="46" t="n">
        <v>177497.16</v>
      </c>
      <c r="I466" s="6" t="s">
        <v>593</v>
      </c>
    </row>
    <row r="467" customFormat="false" ht="15" hidden="false" customHeight="false" outlineLevel="0" collapsed="false">
      <c r="A467" s="5" t="s">
        <v>665</v>
      </c>
      <c r="B467" s="5" t="s">
        <v>330</v>
      </c>
      <c r="C467" s="5" t="s">
        <v>660</v>
      </c>
      <c r="D467" s="5" t="s">
        <v>620</v>
      </c>
      <c r="E467" s="5" t="s">
        <v>643</v>
      </c>
      <c r="F467" s="45" t="n">
        <v>5280.5</v>
      </c>
      <c r="G467" s="24" t="n">
        <v>4740</v>
      </c>
      <c r="H467" s="46" t="n">
        <v>142657.8</v>
      </c>
      <c r="I467" s="6" t="s">
        <v>594</v>
      </c>
    </row>
    <row r="468" customFormat="false" ht="15" hidden="false" customHeight="false" outlineLevel="0" collapsed="false">
      <c r="A468" s="5" t="s">
        <v>665</v>
      </c>
      <c r="B468" s="5" t="s">
        <v>343</v>
      </c>
      <c r="C468" s="5" t="s">
        <v>660</v>
      </c>
      <c r="D468" s="5" t="s">
        <v>620</v>
      </c>
      <c r="E468" s="5" t="s">
        <v>643</v>
      </c>
      <c r="F468" s="45" t="n">
        <v>523.5</v>
      </c>
      <c r="G468" s="24" t="n">
        <v>414</v>
      </c>
      <c r="H468" s="46" t="n">
        <v>6459.6</v>
      </c>
      <c r="I468" s="6" t="s">
        <v>595</v>
      </c>
    </row>
    <row r="469" customFormat="false" ht="15" hidden="false" customHeight="false" outlineLevel="0" collapsed="false">
      <c r="A469" s="5" t="s">
        <v>666</v>
      </c>
      <c r="B469" s="5" t="s">
        <v>265</v>
      </c>
      <c r="C469" s="5" t="s">
        <v>660</v>
      </c>
      <c r="D469" s="5" t="s">
        <v>620</v>
      </c>
      <c r="E469" s="5" t="s">
        <v>631</v>
      </c>
      <c r="F469" s="45" t="n">
        <v>31248.3</v>
      </c>
      <c r="G469" s="24" t="n">
        <v>26695</v>
      </c>
      <c r="H469" s="46" t="n">
        <v>1252655.12</v>
      </c>
      <c r="I469" s="6" t="s">
        <v>589</v>
      </c>
    </row>
    <row r="470" customFormat="false" ht="15" hidden="false" customHeight="false" outlineLevel="0" collapsed="false">
      <c r="A470" s="5" t="s">
        <v>666</v>
      </c>
      <c r="B470" s="5" t="s">
        <v>278</v>
      </c>
      <c r="C470" s="5" t="s">
        <v>660</v>
      </c>
      <c r="D470" s="5" t="s">
        <v>620</v>
      </c>
      <c r="E470" s="5" t="s">
        <v>631</v>
      </c>
      <c r="F470" s="45" t="n">
        <v>42615.5</v>
      </c>
      <c r="G470" s="24" t="n">
        <v>38425</v>
      </c>
      <c r="H470" s="46" t="n">
        <v>908892.17</v>
      </c>
      <c r="I470" s="6" t="s">
        <v>590</v>
      </c>
    </row>
    <row r="471" customFormat="false" ht="15" hidden="false" customHeight="false" outlineLevel="0" collapsed="false">
      <c r="A471" s="5" t="s">
        <v>666</v>
      </c>
      <c r="B471" s="5" t="s">
        <v>291</v>
      </c>
      <c r="C471" s="5" t="s">
        <v>660</v>
      </c>
      <c r="D471" s="5" t="s">
        <v>620</v>
      </c>
      <c r="E471" s="5" t="s">
        <v>631</v>
      </c>
      <c r="F471" s="45" t="n">
        <v>42257.9</v>
      </c>
      <c r="G471" s="24" t="n">
        <v>37885</v>
      </c>
      <c r="H471" s="46" t="n">
        <v>548676.16</v>
      </c>
      <c r="I471" s="6" t="s">
        <v>591</v>
      </c>
    </row>
    <row r="472" customFormat="false" ht="15" hidden="false" customHeight="false" outlineLevel="0" collapsed="false">
      <c r="A472" s="5" t="s">
        <v>666</v>
      </c>
      <c r="B472" s="5" t="s">
        <v>304</v>
      </c>
      <c r="C472" s="5" t="s">
        <v>660</v>
      </c>
      <c r="D472" s="5" t="s">
        <v>620</v>
      </c>
      <c r="E472" s="5" t="s">
        <v>631</v>
      </c>
      <c r="F472" s="45" t="n">
        <v>50864.5</v>
      </c>
      <c r="G472" s="24" t="n">
        <v>44083</v>
      </c>
      <c r="H472" s="46" t="n">
        <v>651991.86</v>
      </c>
      <c r="I472" s="6" t="s">
        <v>592</v>
      </c>
    </row>
    <row r="473" customFormat="false" ht="15" hidden="false" customHeight="false" outlineLevel="0" collapsed="false">
      <c r="A473" s="5" t="s">
        <v>666</v>
      </c>
      <c r="B473" s="5" t="s">
        <v>317</v>
      </c>
      <c r="C473" s="5" t="s">
        <v>660</v>
      </c>
      <c r="D473" s="5" t="s">
        <v>620</v>
      </c>
      <c r="E473" s="5" t="s">
        <v>631</v>
      </c>
      <c r="F473" s="45" t="n">
        <v>21296.5</v>
      </c>
      <c r="G473" s="24" t="n">
        <v>18856</v>
      </c>
      <c r="H473" s="46" t="n">
        <v>299140.95</v>
      </c>
      <c r="I473" s="6" t="s">
        <v>593</v>
      </c>
    </row>
    <row r="474" customFormat="false" ht="15" hidden="false" customHeight="false" outlineLevel="0" collapsed="false">
      <c r="A474" s="5" t="s">
        <v>666</v>
      </c>
      <c r="B474" s="5" t="s">
        <v>330</v>
      </c>
      <c r="C474" s="5" t="s">
        <v>660</v>
      </c>
      <c r="D474" s="5" t="s">
        <v>620</v>
      </c>
      <c r="E474" s="5" t="s">
        <v>631</v>
      </c>
      <c r="F474" s="45" t="n">
        <v>10937.5</v>
      </c>
      <c r="G474" s="24" t="n">
        <v>9295</v>
      </c>
      <c r="H474" s="46" t="n">
        <v>141803.77</v>
      </c>
      <c r="I474" s="6" t="s">
        <v>594</v>
      </c>
    </row>
    <row r="475" customFormat="false" ht="15" hidden="false" customHeight="false" outlineLevel="0" collapsed="false">
      <c r="A475" s="5" t="s">
        <v>666</v>
      </c>
      <c r="B475" s="5" t="s">
        <v>343</v>
      </c>
      <c r="C475" s="5" t="s">
        <v>660</v>
      </c>
      <c r="D475" s="5" t="s">
        <v>620</v>
      </c>
      <c r="E475" s="5" t="s">
        <v>631</v>
      </c>
      <c r="F475" s="45" t="n">
        <v>2437.9</v>
      </c>
      <c r="G475" s="24" t="n">
        <v>2001</v>
      </c>
      <c r="H475" s="46" t="n">
        <v>29970.46</v>
      </c>
      <c r="I475" s="6" t="s">
        <v>595</v>
      </c>
    </row>
    <row r="476" customFormat="false" ht="15" hidden="false" customHeight="false" outlineLevel="0" collapsed="false">
      <c r="A476" s="5" t="s">
        <v>666</v>
      </c>
      <c r="B476" s="5" t="s">
        <v>356</v>
      </c>
      <c r="C476" s="5" t="s">
        <v>660</v>
      </c>
      <c r="D476" s="5" t="s">
        <v>620</v>
      </c>
      <c r="E476" s="5" t="s">
        <v>631</v>
      </c>
      <c r="F476" s="45" t="n">
        <v>618.1</v>
      </c>
      <c r="G476" s="24" t="n">
        <v>73</v>
      </c>
      <c r="H476" s="46" t="n">
        <v>932.51</v>
      </c>
      <c r="I476" s="6" t="s">
        <v>596</v>
      </c>
    </row>
    <row r="477" customFormat="false" ht="15" hidden="false" customHeight="false" outlineLevel="0" collapsed="false">
      <c r="A477" s="5" t="s">
        <v>667</v>
      </c>
      <c r="B477" s="5" t="s">
        <v>265</v>
      </c>
      <c r="C477" s="5" t="s">
        <v>668</v>
      </c>
      <c r="D477" s="5" t="s">
        <v>620</v>
      </c>
      <c r="E477" s="5" t="s">
        <v>640</v>
      </c>
      <c r="F477" s="45" t="n">
        <v>2399</v>
      </c>
      <c r="G477" s="24" t="n">
        <v>1413</v>
      </c>
      <c r="H477" s="46" t="n">
        <v>28796.35</v>
      </c>
      <c r="I477" s="6" t="s">
        <v>589</v>
      </c>
    </row>
    <row r="478" customFormat="false" ht="15" hidden="false" customHeight="false" outlineLevel="0" collapsed="false">
      <c r="A478" s="5" t="s">
        <v>667</v>
      </c>
      <c r="B478" s="5" t="s">
        <v>278</v>
      </c>
      <c r="C478" s="5" t="s">
        <v>668</v>
      </c>
      <c r="D478" s="5" t="s">
        <v>620</v>
      </c>
      <c r="E478" s="5" t="s">
        <v>640</v>
      </c>
      <c r="F478" s="45" t="n">
        <v>1661</v>
      </c>
      <c r="G478" s="24" t="n">
        <v>939</v>
      </c>
      <c r="H478" s="46" t="n">
        <v>10053.92</v>
      </c>
      <c r="I478" s="6" t="s">
        <v>590</v>
      </c>
    </row>
    <row r="479" customFormat="false" ht="15" hidden="false" customHeight="false" outlineLevel="0" collapsed="false">
      <c r="A479" s="5" t="s">
        <v>667</v>
      </c>
      <c r="B479" s="5" t="s">
        <v>291</v>
      </c>
      <c r="C479" s="5" t="s">
        <v>668</v>
      </c>
      <c r="D479" s="5" t="s">
        <v>620</v>
      </c>
      <c r="E479" s="5" t="s">
        <v>640</v>
      </c>
      <c r="F479" s="45" t="n">
        <v>1216</v>
      </c>
      <c r="G479" s="24" t="n">
        <v>543</v>
      </c>
      <c r="H479" s="46" t="n">
        <v>7322.72</v>
      </c>
      <c r="I479" s="6" t="s">
        <v>591</v>
      </c>
    </row>
    <row r="480" customFormat="false" ht="15" hidden="false" customHeight="false" outlineLevel="0" collapsed="false">
      <c r="A480" s="5" t="s">
        <v>667</v>
      </c>
      <c r="B480" s="5" t="s">
        <v>304</v>
      </c>
      <c r="C480" s="5" t="s">
        <v>668</v>
      </c>
      <c r="D480" s="5" t="s">
        <v>620</v>
      </c>
      <c r="E480" s="5" t="s">
        <v>640</v>
      </c>
      <c r="F480" s="45" t="n">
        <v>1323</v>
      </c>
      <c r="G480" s="24" t="n">
        <v>549</v>
      </c>
      <c r="H480" s="46" t="n">
        <v>7621.94</v>
      </c>
      <c r="I480" s="6" t="s">
        <v>592</v>
      </c>
    </row>
    <row r="481" customFormat="false" ht="15" hidden="false" customHeight="false" outlineLevel="0" collapsed="false">
      <c r="A481" s="5" t="s">
        <v>667</v>
      </c>
      <c r="B481" s="5" t="s">
        <v>317</v>
      </c>
      <c r="C481" s="5" t="s">
        <v>668</v>
      </c>
      <c r="D481" s="5" t="s">
        <v>620</v>
      </c>
      <c r="E481" s="5" t="s">
        <v>640</v>
      </c>
      <c r="F481" s="45" t="n">
        <v>368</v>
      </c>
      <c r="G481" s="24" t="n">
        <v>152</v>
      </c>
      <c r="H481" s="46" t="n">
        <v>2201.04</v>
      </c>
      <c r="I481" s="6" t="s">
        <v>593</v>
      </c>
    </row>
    <row r="482" customFormat="false" ht="15" hidden="false" customHeight="false" outlineLevel="0" collapsed="false">
      <c r="A482" s="5" t="s">
        <v>669</v>
      </c>
      <c r="B482" s="5" t="s">
        <v>265</v>
      </c>
      <c r="C482" s="5" t="s">
        <v>668</v>
      </c>
      <c r="D482" s="5" t="s">
        <v>620</v>
      </c>
      <c r="E482" s="5" t="s">
        <v>643</v>
      </c>
      <c r="F482" s="45" t="n">
        <v>65.5</v>
      </c>
      <c r="G482" s="24" t="n">
        <v>60</v>
      </c>
      <c r="H482" s="46" t="n">
        <v>3200.6</v>
      </c>
      <c r="I482" s="6" t="s">
        <v>589</v>
      </c>
    </row>
    <row r="483" customFormat="false" ht="15" hidden="false" customHeight="false" outlineLevel="0" collapsed="false">
      <c r="A483" s="5" t="s">
        <v>669</v>
      </c>
      <c r="B483" s="5" t="s">
        <v>278</v>
      </c>
      <c r="C483" s="5" t="s">
        <v>668</v>
      </c>
      <c r="D483" s="5" t="s">
        <v>620</v>
      </c>
      <c r="E483" s="5" t="s">
        <v>643</v>
      </c>
      <c r="F483" s="45" t="n">
        <v>11</v>
      </c>
      <c r="G483" s="24" t="n">
        <v>13</v>
      </c>
      <c r="H483" s="46" t="n">
        <v>996.8</v>
      </c>
      <c r="I483" s="6" t="s">
        <v>590</v>
      </c>
    </row>
    <row r="484" customFormat="false" ht="15" hidden="false" customHeight="false" outlineLevel="0" collapsed="false">
      <c r="A484" s="5" t="s">
        <v>669</v>
      </c>
      <c r="B484" s="5" t="s">
        <v>291</v>
      </c>
      <c r="C484" s="5" t="s">
        <v>668</v>
      </c>
      <c r="D484" s="5" t="s">
        <v>620</v>
      </c>
      <c r="E484" s="5" t="s">
        <v>643</v>
      </c>
      <c r="F484" s="45" t="n">
        <v>124</v>
      </c>
      <c r="G484" s="24" t="n">
        <v>124</v>
      </c>
      <c r="H484" s="46" t="n">
        <v>1584.34</v>
      </c>
      <c r="I484" s="6" t="s">
        <v>591</v>
      </c>
    </row>
    <row r="485" customFormat="false" ht="15" hidden="false" customHeight="false" outlineLevel="0" collapsed="false">
      <c r="A485" s="5" t="s">
        <v>669</v>
      </c>
      <c r="B485" s="5" t="s">
        <v>304</v>
      </c>
      <c r="C485" s="5" t="s">
        <v>668</v>
      </c>
      <c r="D485" s="5" t="s">
        <v>620</v>
      </c>
      <c r="E485" s="5" t="s">
        <v>643</v>
      </c>
      <c r="F485" s="45" t="n">
        <v>51.5</v>
      </c>
      <c r="G485" s="24" t="n">
        <v>50</v>
      </c>
      <c r="H485" s="46" t="n">
        <v>414.92</v>
      </c>
      <c r="I485" s="6" t="s">
        <v>592</v>
      </c>
    </row>
    <row r="486" customFormat="false" ht="15" hidden="false" customHeight="false" outlineLevel="0" collapsed="false">
      <c r="A486" s="5" t="s">
        <v>670</v>
      </c>
      <c r="B486" s="5" t="s">
        <v>265</v>
      </c>
      <c r="C486" s="5" t="s">
        <v>668</v>
      </c>
      <c r="D486" s="5" t="s">
        <v>620</v>
      </c>
      <c r="E486" s="5" t="s">
        <v>643</v>
      </c>
      <c r="F486" s="45" t="n">
        <v>111</v>
      </c>
      <c r="G486" s="24" t="n">
        <v>108</v>
      </c>
      <c r="H486" s="46" t="n">
        <v>1439.48</v>
      </c>
      <c r="I486" s="6" t="s">
        <v>589</v>
      </c>
    </row>
    <row r="487" customFormat="false" ht="15" hidden="false" customHeight="false" outlineLevel="0" collapsed="false">
      <c r="A487" s="5" t="s">
        <v>670</v>
      </c>
      <c r="B487" s="5" t="s">
        <v>278</v>
      </c>
      <c r="C487" s="5" t="s">
        <v>668</v>
      </c>
      <c r="D487" s="5" t="s">
        <v>620</v>
      </c>
      <c r="E487" s="5" t="s">
        <v>643</v>
      </c>
      <c r="F487" s="45" t="n">
        <v>89</v>
      </c>
      <c r="G487" s="24" t="n">
        <v>89</v>
      </c>
      <c r="H487" s="46" t="n">
        <v>1449.98</v>
      </c>
      <c r="I487" s="6" t="s">
        <v>590</v>
      </c>
    </row>
    <row r="488" customFormat="false" ht="15" hidden="false" customHeight="false" outlineLevel="0" collapsed="false">
      <c r="A488" s="5" t="s">
        <v>671</v>
      </c>
      <c r="B488" s="5" t="s">
        <v>265</v>
      </c>
      <c r="C488" s="5" t="s">
        <v>668</v>
      </c>
      <c r="D488" s="5" t="s">
        <v>620</v>
      </c>
      <c r="E488" s="5" t="s">
        <v>625</v>
      </c>
      <c r="F488" s="45" t="n">
        <v>1403.2</v>
      </c>
      <c r="G488" s="24" t="n">
        <v>917</v>
      </c>
      <c r="H488" s="46" t="n">
        <v>8283.94</v>
      </c>
      <c r="I488" s="6" t="s">
        <v>589</v>
      </c>
    </row>
    <row r="489" customFormat="false" ht="15" hidden="false" customHeight="false" outlineLevel="0" collapsed="false">
      <c r="A489" s="5" t="s">
        <v>671</v>
      </c>
      <c r="B489" s="5" t="s">
        <v>278</v>
      </c>
      <c r="C489" s="5" t="s">
        <v>668</v>
      </c>
      <c r="D489" s="5" t="s">
        <v>620</v>
      </c>
      <c r="E489" s="5" t="s">
        <v>625</v>
      </c>
      <c r="F489" s="45" t="n">
        <v>1087.5</v>
      </c>
      <c r="G489" s="24" t="n">
        <v>836</v>
      </c>
      <c r="H489" s="46" t="n">
        <v>6168.7</v>
      </c>
      <c r="I489" s="6" t="s">
        <v>590</v>
      </c>
    </row>
    <row r="490" customFormat="false" ht="15" hidden="false" customHeight="false" outlineLevel="0" collapsed="false">
      <c r="A490" s="5" t="s">
        <v>671</v>
      </c>
      <c r="B490" s="5" t="s">
        <v>291</v>
      </c>
      <c r="C490" s="5" t="s">
        <v>668</v>
      </c>
      <c r="D490" s="5" t="s">
        <v>620</v>
      </c>
      <c r="E490" s="5" t="s">
        <v>625</v>
      </c>
      <c r="F490" s="45" t="n">
        <v>716.5</v>
      </c>
      <c r="G490" s="24" t="n">
        <v>462</v>
      </c>
      <c r="H490" s="46" t="n">
        <v>4101.51</v>
      </c>
      <c r="I490" s="6" t="s">
        <v>591</v>
      </c>
    </row>
    <row r="491" customFormat="false" ht="15" hidden="false" customHeight="false" outlineLevel="0" collapsed="false">
      <c r="A491" s="5" t="s">
        <v>671</v>
      </c>
      <c r="B491" s="5" t="s">
        <v>304</v>
      </c>
      <c r="C491" s="5" t="s">
        <v>668</v>
      </c>
      <c r="D491" s="5" t="s">
        <v>620</v>
      </c>
      <c r="E491" s="5" t="s">
        <v>625</v>
      </c>
      <c r="F491" s="45" t="n">
        <v>923</v>
      </c>
      <c r="G491" s="24" t="n">
        <v>592</v>
      </c>
      <c r="H491" s="46" t="n">
        <v>4673.84</v>
      </c>
      <c r="I491" s="6" t="s">
        <v>592</v>
      </c>
    </row>
    <row r="492" customFormat="false" ht="15" hidden="false" customHeight="false" outlineLevel="0" collapsed="false">
      <c r="A492" s="5" t="s">
        <v>671</v>
      </c>
      <c r="B492" s="5" t="s">
        <v>317</v>
      </c>
      <c r="C492" s="5" t="s">
        <v>668</v>
      </c>
      <c r="D492" s="5" t="s">
        <v>620</v>
      </c>
      <c r="E492" s="5" t="s">
        <v>625</v>
      </c>
      <c r="F492" s="45" t="n">
        <v>104</v>
      </c>
      <c r="G492" s="24" t="n">
        <v>65</v>
      </c>
      <c r="H492" s="46" t="n">
        <v>576.18</v>
      </c>
      <c r="I492" s="6" t="s">
        <v>593</v>
      </c>
    </row>
    <row r="493" customFormat="false" ht="15" hidden="false" customHeight="false" outlineLevel="0" collapsed="false">
      <c r="A493" s="5" t="s">
        <v>672</v>
      </c>
      <c r="B493" s="5" t="s">
        <v>265</v>
      </c>
      <c r="C493" s="5" t="s">
        <v>668</v>
      </c>
      <c r="D493" s="5" t="s">
        <v>620</v>
      </c>
      <c r="E493" s="5" t="s">
        <v>643</v>
      </c>
      <c r="F493" s="45" t="n">
        <v>94</v>
      </c>
      <c r="G493" s="24" t="n">
        <v>170</v>
      </c>
      <c r="H493" s="46" t="n">
        <v>1779.62</v>
      </c>
      <c r="I493" s="6" t="s">
        <v>589</v>
      </c>
    </row>
    <row r="494" customFormat="false" ht="15" hidden="false" customHeight="false" outlineLevel="0" collapsed="false">
      <c r="A494" s="5" t="s">
        <v>672</v>
      </c>
      <c r="B494" s="5" t="s">
        <v>278</v>
      </c>
      <c r="C494" s="5" t="s">
        <v>668</v>
      </c>
      <c r="D494" s="5" t="s">
        <v>620</v>
      </c>
      <c r="E494" s="5" t="s">
        <v>643</v>
      </c>
      <c r="F494" s="45" t="n">
        <v>35</v>
      </c>
      <c r="G494" s="24" t="n">
        <v>40</v>
      </c>
      <c r="H494" s="46" t="n">
        <v>389.19</v>
      </c>
      <c r="I494" s="6" t="s">
        <v>590</v>
      </c>
    </row>
    <row r="495" customFormat="false" ht="15" hidden="false" customHeight="false" outlineLevel="0" collapsed="false">
      <c r="A495" s="5" t="s">
        <v>673</v>
      </c>
      <c r="B495" s="5" t="s">
        <v>330</v>
      </c>
      <c r="C495" s="5" t="s">
        <v>668</v>
      </c>
      <c r="D495" s="5" t="s">
        <v>620</v>
      </c>
      <c r="E495" s="5" t="s">
        <v>631</v>
      </c>
      <c r="F495" s="45" t="n">
        <v>428.5</v>
      </c>
      <c r="G495" s="24" t="n">
        <v>268</v>
      </c>
      <c r="H495" s="46" t="n">
        <v>8302.89</v>
      </c>
      <c r="I495" s="6" t="s">
        <v>594</v>
      </c>
    </row>
    <row r="496" customFormat="false" ht="15" hidden="false" customHeight="false" outlineLevel="0" collapsed="false">
      <c r="A496" s="5" t="s">
        <v>673</v>
      </c>
      <c r="B496" s="5" t="s">
        <v>343</v>
      </c>
      <c r="C496" s="5" t="s">
        <v>668</v>
      </c>
      <c r="D496" s="5" t="s">
        <v>620</v>
      </c>
      <c r="E496" s="5" t="s">
        <v>631</v>
      </c>
      <c r="F496" s="45" t="n">
        <v>3390.1</v>
      </c>
      <c r="G496" s="24" t="n">
        <v>1604</v>
      </c>
      <c r="H496" s="46" t="n">
        <v>21460.47</v>
      </c>
      <c r="I496" s="6" t="s">
        <v>595</v>
      </c>
    </row>
    <row r="497" customFormat="false" ht="15" hidden="false" customHeight="false" outlineLevel="0" collapsed="false">
      <c r="A497" s="5" t="s">
        <v>673</v>
      </c>
      <c r="B497" s="5" t="s">
        <v>356</v>
      </c>
      <c r="C497" s="5" t="s">
        <v>668</v>
      </c>
      <c r="D497" s="5" t="s">
        <v>620</v>
      </c>
      <c r="E497" s="5" t="s">
        <v>631</v>
      </c>
      <c r="F497" s="45" t="n">
        <v>3571.5</v>
      </c>
      <c r="G497" s="24" t="n">
        <v>2006</v>
      </c>
      <c r="H497" s="46" t="n">
        <v>16336.39</v>
      </c>
      <c r="I497" s="6" t="s">
        <v>596</v>
      </c>
    </row>
    <row r="498" customFormat="false" ht="15" hidden="false" customHeight="false" outlineLevel="0" collapsed="false">
      <c r="A498" s="5" t="s">
        <v>673</v>
      </c>
      <c r="B498" s="5" t="s">
        <v>369</v>
      </c>
      <c r="C498" s="5" t="s">
        <v>668</v>
      </c>
      <c r="D498" s="5" t="s">
        <v>620</v>
      </c>
      <c r="E498" s="5" t="s">
        <v>631</v>
      </c>
      <c r="F498" s="45" t="n">
        <v>494.7</v>
      </c>
      <c r="G498" s="24" t="n">
        <v>304</v>
      </c>
      <c r="H498" s="46" t="n">
        <v>1962.78</v>
      </c>
      <c r="I498" s="6" t="s">
        <v>597</v>
      </c>
    </row>
    <row r="499" customFormat="false" ht="15" hidden="false" customHeight="false" outlineLevel="0" collapsed="false">
      <c r="A499" s="5" t="s">
        <v>551</v>
      </c>
      <c r="B499" s="5" t="s">
        <v>343</v>
      </c>
      <c r="C499" s="5" t="s">
        <v>668</v>
      </c>
      <c r="D499" s="5" t="s">
        <v>620</v>
      </c>
      <c r="E499" s="5" t="s">
        <v>625</v>
      </c>
      <c r="F499" s="45" t="n">
        <v>1148.8</v>
      </c>
      <c r="G499" s="24" t="n">
        <v>402</v>
      </c>
      <c r="H499" s="46" t="n">
        <v>2996.75</v>
      </c>
      <c r="I499" s="6" t="s">
        <v>595</v>
      </c>
    </row>
    <row r="500" customFormat="false" ht="15" hidden="false" customHeight="false" outlineLevel="0" collapsed="false">
      <c r="A500" s="5" t="s">
        <v>551</v>
      </c>
      <c r="B500" s="5" t="s">
        <v>356</v>
      </c>
      <c r="C500" s="5" t="s">
        <v>668</v>
      </c>
      <c r="D500" s="5" t="s">
        <v>620</v>
      </c>
      <c r="E500" s="5" t="s">
        <v>625</v>
      </c>
      <c r="F500" s="45" t="n">
        <v>9265.3</v>
      </c>
      <c r="G500" s="24" t="n">
        <v>2780</v>
      </c>
      <c r="H500" s="46" t="n">
        <v>21171.61</v>
      </c>
      <c r="I500" s="6" t="s">
        <v>596</v>
      </c>
    </row>
    <row r="501" customFormat="false" ht="15" hidden="false" customHeight="false" outlineLevel="0" collapsed="false">
      <c r="A501" s="5" t="s">
        <v>551</v>
      </c>
      <c r="B501" s="5" t="s">
        <v>369</v>
      </c>
      <c r="C501" s="5" t="s">
        <v>668</v>
      </c>
      <c r="D501" s="5" t="s">
        <v>620</v>
      </c>
      <c r="E501" s="5" t="s">
        <v>625</v>
      </c>
      <c r="F501" s="45" t="n">
        <v>934.5</v>
      </c>
      <c r="G501" s="24" t="n">
        <v>349</v>
      </c>
      <c r="H501" s="46" t="n">
        <v>2149.82</v>
      </c>
      <c r="I501" s="6" t="s">
        <v>597</v>
      </c>
    </row>
    <row r="502" customFormat="false" ht="15" hidden="false" customHeight="false" outlineLevel="0" collapsed="false">
      <c r="A502" s="5" t="s">
        <v>674</v>
      </c>
      <c r="B502" s="5" t="s">
        <v>343</v>
      </c>
      <c r="C502" s="5" t="s">
        <v>668</v>
      </c>
      <c r="D502" s="5" t="s">
        <v>620</v>
      </c>
      <c r="E502" s="5" t="s">
        <v>623</v>
      </c>
      <c r="F502" s="45" t="n">
        <v>263.6</v>
      </c>
      <c r="G502" s="24" t="n">
        <v>47</v>
      </c>
      <c r="H502" s="46" t="n">
        <v>739.54</v>
      </c>
      <c r="I502" s="6" t="s">
        <v>595</v>
      </c>
    </row>
    <row r="503" customFormat="false" ht="15" hidden="false" customHeight="false" outlineLevel="0" collapsed="false">
      <c r="A503" s="5" t="s">
        <v>674</v>
      </c>
      <c r="B503" s="5" t="s">
        <v>356</v>
      </c>
      <c r="C503" s="5" t="s">
        <v>668</v>
      </c>
      <c r="D503" s="5" t="s">
        <v>620</v>
      </c>
      <c r="E503" s="5" t="s">
        <v>623</v>
      </c>
      <c r="F503" s="45" t="n">
        <v>9826.5</v>
      </c>
      <c r="G503" s="24" t="n">
        <v>1231</v>
      </c>
      <c r="H503" s="46" t="n">
        <v>9559.44</v>
      </c>
      <c r="I503" s="6" t="s">
        <v>596</v>
      </c>
    </row>
    <row r="504" customFormat="false" ht="15" hidden="false" customHeight="false" outlineLevel="0" collapsed="false">
      <c r="A504" s="5" t="s">
        <v>674</v>
      </c>
      <c r="B504" s="5" t="s">
        <v>369</v>
      </c>
      <c r="C504" s="5" t="s">
        <v>668</v>
      </c>
      <c r="D504" s="5" t="s">
        <v>620</v>
      </c>
      <c r="E504" s="5" t="s">
        <v>623</v>
      </c>
      <c r="F504" s="45" t="n">
        <v>5008.4</v>
      </c>
      <c r="G504" s="24" t="n">
        <v>454</v>
      </c>
      <c r="H504" s="46" t="n">
        <v>4380.82</v>
      </c>
      <c r="I504" s="6" t="s">
        <v>597</v>
      </c>
    </row>
    <row r="505" customFormat="false" ht="15" hidden="false" customHeight="false" outlineLevel="0" collapsed="false">
      <c r="A505" s="5" t="s">
        <v>675</v>
      </c>
      <c r="B505" s="5" t="s">
        <v>304</v>
      </c>
      <c r="C505" s="5" t="s">
        <v>676</v>
      </c>
      <c r="D505" s="5" t="s">
        <v>620</v>
      </c>
      <c r="E505" s="5" t="s">
        <v>640</v>
      </c>
      <c r="F505" s="45" t="n">
        <v>847.5</v>
      </c>
      <c r="G505" s="24" t="n">
        <v>650</v>
      </c>
      <c r="H505" s="46" t="n">
        <v>7233.79</v>
      </c>
      <c r="I505" s="6" t="s">
        <v>592</v>
      </c>
    </row>
    <row r="506" customFormat="false" ht="15" hidden="false" customHeight="false" outlineLevel="0" collapsed="false">
      <c r="A506" s="5" t="s">
        <v>675</v>
      </c>
      <c r="B506" s="5" t="s">
        <v>317</v>
      </c>
      <c r="C506" s="5" t="s">
        <v>676</v>
      </c>
      <c r="D506" s="5" t="s">
        <v>620</v>
      </c>
      <c r="E506" s="5" t="s">
        <v>640</v>
      </c>
      <c r="F506" s="45" t="n">
        <v>4384.5</v>
      </c>
      <c r="G506" s="24" t="n">
        <v>3271</v>
      </c>
      <c r="H506" s="46" t="n">
        <v>52367.28</v>
      </c>
      <c r="I506" s="6" t="s">
        <v>593</v>
      </c>
    </row>
    <row r="507" customFormat="false" ht="15" hidden="false" customHeight="false" outlineLevel="0" collapsed="false">
      <c r="A507" s="5" t="s">
        <v>675</v>
      </c>
      <c r="B507" s="5" t="s">
        <v>330</v>
      </c>
      <c r="C507" s="5" t="s">
        <v>676</v>
      </c>
      <c r="D507" s="5" t="s">
        <v>620</v>
      </c>
      <c r="E507" s="5" t="s">
        <v>640</v>
      </c>
      <c r="F507" s="45" t="n">
        <v>726</v>
      </c>
      <c r="G507" s="24" t="n">
        <v>635</v>
      </c>
      <c r="H507" s="46" t="n">
        <v>19914.19</v>
      </c>
      <c r="I507" s="6" t="s">
        <v>594</v>
      </c>
    </row>
    <row r="508" customFormat="false" ht="15" hidden="false" customHeight="false" outlineLevel="0" collapsed="false">
      <c r="A508" s="5" t="s">
        <v>675</v>
      </c>
      <c r="B508" s="5" t="s">
        <v>356</v>
      </c>
      <c r="C508" s="5" t="s">
        <v>676</v>
      </c>
      <c r="D508" s="5" t="s">
        <v>620</v>
      </c>
      <c r="E508" s="5" t="s">
        <v>640</v>
      </c>
      <c r="F508" s="45" t="n">
        <v>291.9</v>
      </c>
      <c r="G508" s="24" t="n">
        <v>76</v>
      </c>
      <c r="H508" s="46" t="n">
        <v>371.2</v>
      </c>
      <c r="I508" s="6" t="s">
        <v>596</v>
      </c>
    </row>
    <row r="509" customFormat="false" ht="15" hidden="false" customHeight="false" outlineLevel="0" collapsed="false">
      <c r="A509" s="5" t="s">
        <v>677</v>
      </c>
      <c r="B509" s="5" t="s">
        <v>304</v>
      </c>
      <c r="C509" s="5" t="s">
        <v>676</v>
      </c>
      <c r="D509" s="5" t="s">
        <v>620</v>
      </c>
      <c r="E509" s="5" t="s">
        <v>640</v>
      </c>
      <c r="F509" s="45" t="n">
        <v>45</v>
      </c>
      <c r="G509" s="24" t="n">
        <v>38</v>
      </c>
      <c r="H509" s="46" t="n">
        <v>384.95</v>
      </c>
      <c r="I509" s="6" t="s">
        <v>592</v>
      </c>
    </row>
    <row r="510" customFormat="false" ht="15" hidden="false" customHeight="false" outlineLevel="0" collapsed="false">
      <c r="A510" s="5" t="s">
        <v>677</v>
      </c>
      <c r="B510" s="5" t="s">
        <v>317</v>
      </c>
      <c r="C510" s="5" t="s">
        <v>676</v>
      </c>
      <c r="D510" s="5" t="s">
        <v>620</v>
      </c>
      <c r="E510" s="5" t="s">
        <v>640</v>
      </c>
      <c r="F510" s="45" t="n">
        <v>751</v>
      </c>
      <c r="G510" s="24" t="n">
        <v>588</v>
      </c>
      <c r="H510" s="46" t="n">
        <v>4911.01</v>
      </c>
      <c r="I510" s="6" t="s">
        <v>593</v>
      </c>
    </row>
    <row r="511" customFormat="false" ht="15" hidden="false" customHeight="false" outlineLevel="0" collapsed="false">
      <c r="A511" s="5" t="s">
        <v>677</v>
      </c>
      <c r="B511" s="5" t="s">
        <v>330</v>
      </c>
      <c r="C511" s="5" t="s">
        <v>676</v>
      </c>
      <c r="D511" s="5" t="s">
        <v>620</v>
      </c>
      <c r="E511" s="5" t="s">
        <v>640</v>
      </c>
      <c r="F511" s="45" t="n">
        <v>208</v>
      </c>
      <c r="G511" s="24" t="n">
        <v>165</v>
      </c>
      <c r="H511" s="46" t="n">
        <v>719.98</v>
      </c>
      <c r="I511" s="6" t="s">
        <v>594</v>
      </c>
    </row>
    <row r="512" customFormat="false" ht="15" hidden="false" customHeight="false" outlineLevel="0" collapsed="false">
      <c r="A512" s="5" t="s">
        <v>678</v>
      </c>
      <c r="B512" s="5" t="s">
        <v>304</v>
      </c>
      <c r="C512" s="5" t="s">
        <v>676</v>
      </c>
      <c r="D512" s="5" t="s">
        <v>620</v>
      </c>
      <c r="E512" s="5" t="s">
        <v>623</v>
      </c>
      <c r="F512" s="45" t="n">
        <v>513</v>
      </c>
      <c r="G512" s="24" t="n">
        <v>299</v>
      </c>
      <c r="H512" s="46" t="n">
        <v>6100.12</v>
      </c>
      <c r="I512" s="6" t="s">
        <v>592</v>
      </c>
    </row>
    <row r="513" customFormat="false" ht="15" hidden="false" customHeight="false" outlineLevel="0" collapsed="false">
      <c r="A513" s="5" t="s">
        <v>678</v>
      </c>
      <c r="B513" s="5" t="s">
        <v>317</v>
      </c>
      <c r="C513" s="5" t="s">
        <v>676</v>
      </c>
      <c r="D513" s="5" t="s">
        <v>620</v>
      </c>
      <c r="E513" s="5" t="s">
        <v>623</v>
      </c>
      <c r="F513" s="45" t="n">
        <v>1553.5</v>
      </c>
      <c r="G513" s="24" t="n">
        <v>921</v>
      </c>
      <c r="H513" s="46" t="n">
        <v>13934.84</v>
      </c>
      <c r="I513" s="6" t="s">
        <v>593</v>
      </c>
    </row>
    <row r="514" customFormat="false" ht="15" hidden="false" customHeight="false" outlineLevel="0" collapsed="false">
      <c r="A514" s="5" t="s">
        <v>679</v>
      </c>
      <c r="B514" s="5" t="s">
        <v>304</v>
      </c>
      <c r="C514" s="5" t="s">
        <v>676</v>
      </c>
      <c r="D514" s="5" t="s">
        <v>620</v>
      </c>
      <c r="E514" s="5" t="s">
        <v>625</v>
      </c>
      <c r="F514" s="45" t="n">
        <v>1802</v>
      </c>
      <c r="G514" s="24" t="n">
        <v>1386</v>
      </c>
      <c r="H514" s="46" t="n">
        <v>10924.26</v>
      </c>
      <c r="I514" s="6" t="s">
        <v>592</v>
      </c>
    </row>
    <row r="515" customFormat="false" ht="15" hidden="false" customHeight="false" outlineLevel="0" collapsed="false">
      <c r="A515" s="5" t="s">
        <v>679</v>
      </c>
      <c r="B515" s="5" t="s">
        <v>317</v>
      </c>
      <c r="C515" s="5" t="s">
        <v>676</v>
      </c>
      <c r="D515" s="5" t="s">
        <v>620</v>
      </c>
      <c r="E515" s="5" t="s">
        <v>625</v>
      </c>
      <c r="F515" s="45" t="n">
        <v>11338.7</v>
      </c>
      <c r="G515" s="24" t="n">
        <v>7807</v>
      </c>
      <c r="H515" s="46" t="n">
        <v>85823.57</v>
      </c>
      <c r="I515" s="6" t="s">
        <v>593</v>
      </c>
    </row>
    <row r="516" customFormat="false" ht="15" hidden="false" customHeight="false" outlineLevel="0" collapsed="false">
      <c r="A516" s="5" t="s">
        <v>679</v>
      </c>
      <c r="B516" s="5" t="s">
        <v>330</v>
      </c>
      <c r="C516" s="5" t="s">
        <v>676</v>
      </c>
      <c r="D516" s="5" t="s">
        <v>620</v>
      </c>
      <c r="E516" s="5" t="s">
        <v>625</v>
      </c>
      <c r="F516" s="45" t="n">
        <v>1674</v>
      </c>
      <c r="G516" s="24" t="n">
        <v>1062</v>
      </c>
      <c r="H516" s="46" t="n">
        <v>16371.08</v>
      </c>
      <c r="I516" s="6" t="s">
        <v>594</v>
      </c>
    </row>
    <row r="517" customFormat="false" ht="15" hidden="false" customHeight="false" outlineLevel="0" collapsed="false">
      <c r="A517" s="5" t="s">
        <v>679</v>
      </c>
      <c r="B517" s="5" t="s">
        <v>343</v>
      </c>
      <c r="C517" s="5" t="s">
        <v>676</v>
      </c>
      <c r="D517" s="5" t="s">
        <v>620</v>
      </c>
      <c r="E517" s="5" t="s">
        <v>625</v>
      </c>
      <c r="F517" s="45" t="n">
        <v>30</v>
      </c>
      <c r="G517" s="24" t="n">
        <v>16</v>
      </c>
      <c r="H517" s="46" t="n">
        <v>181.53</v>
      </c>
      <c r="I517" s="6" t="s">
        <v>595</v>
      </c>
    </row>
    <row r="518" customFormat="false" ht="15" hidden="false" customHeight="false" outlineLevel="0" collapsed="false">
      <c r="A518" s="5" t="s">
        <v>680</v>
      </c>
      <c r="B518" s="5" t="s">
        <v>304</v>
      </c>
      <c r="C518" s="5" t="s">
        <v>676</v>
      </c>
      <c r="D518" s="5" t="s">
        <v>620</v>
      </c>
      <c r="E518" s="5" t="s">
        <v>643</v>
      </c>
      <c r="F518" s="45" t="n">
        <v>504.5</v>
      </c>
      <c r="G518" s="24" t="n">
        <v>261</v>
      </c>
      <c r="H518" s="46" t="n">
        <v>4851.73</v>
      </c>
      <c r="I518" s="6" t="s">
        <v>592</v>
      </c>
    </row>
    <row r="519" customFormat="false" ht="15" hidden="false" customHeight="false" outlineLevel="0" collapsed="false">
      <c r="A519" s="5" t="s">
        <v>680</v>
      </c>
      <c r="B519" s="5" t="s">
        <v>317</v>
      </c>
      <c r="C519" s="5" t="s">
        <v>676</v>
      </c>
      <c r="D519" s="5" t="s">
        <v>620</v>
      </c>
      <c r="E519" s="5" t="s">
        <v>643</v>
      </c>
      <c r="F519" s="45" t="n">
        <v>5116.8</v>
      </c>
      <c r="G519" s="24" t="n">
        <v>3275</v>
      </c>
      <c r="H519" s="46" t="n">
        <v>74463.38</v>
      </c>
      <c r="I519" s="6" t="s">
        <v>593</v>
      </c>
    </row>
    <row r="520" customFormat="false" ht="15" hidden="false" customHeight="false" outlineLevel="0" collapsed="false">
      <c r="A520" s="5" t="s">
        <v>680</v>
      </c>
      <c r="B520" s="5" t="s">
        <v>330</v>
      </c>
      <c r="C520" s="5" t="s">
        <v>676</v>
      </c>
      <c r="D520" s="5" t="s">
        <v>620</v>
      </c>
      <c r="E520" s="5" t="s">
        <v>643</v>
      </c>
      <c r="F520" s="45" t="n">
        <v>72</v>
      </c>
      <c r="G520" s="24" t="n">
        <v>64</v>
      </c>
      <c r="H520" s="46" t="n">
        <v>5110.46</v>
      </c>
      <c r="I520" s="6" t="s">
        <v>594</v>
      </c>
    </row>
    <row r="521" customFormat="false" ht="15" hidden="false" customHeight="false" outlineLevel="0" collapsed="false">
      <c r="A521" s="5" t="s">
        <v>681</v>
      </c>
      <c r="B521" s="5" t="s">
        <v>317</v>
      </c>
      <c r="C521" s="5" t="s">
        <v>676</v>
      </c>
      <c r="D521" s="5" t="s">
        <v>620</v>
      </c>
      <c r="E521" s="5" t="s">
        <v>643</v>
      </c>
      <c r="F521" s="45" t="n">
        <v>587.5</v>
      </c>
      <c r="G521" s="24" t="n">
        <v>501</v>
      </c>
      <c r="H521" s="46" t="n">
        <v>15148.65</v>
      </c>
      <c r="I521" s="6" t="s">
        <v>593</v>
      </c>
    </row>
    <row r="522" customFormat="false" ht="15" hidden="false" customHeight="false" outlineLevel="0" collapsed="false">
      <c r="A522" s="5" t="s">
        <v>681</v>
      </c>
      <c r="B522" s="5" t="s">
        <v>330</v>
      </c>
      <c r="C522" s="5" t="s">
        <v>676</v>
      </c>
      <c r="D522" s="5" t="s">
        <v>620</v>
      </c>
      <c r="E522" s="5" t="s">
        <v>643</v>
      </c>
      <c r="F522" s="45" t="n">
        <v>143</v>
      </c>
      <c r="G522" s="24" t="n">
        <v>140</v>
      </c>
      <c r="H522" s="46" t="n">
        <v>2290.26</v>
      </c>
      <c r="I522" s="6" t="s">
        <v>594</v>
      </c>
    </row>
    <row r="523" customFormat="false" ht="15" hidden="false" customHeight="false" outlineLevel="0" collapsed="false">
      <c r="A523" s="5" t="s">
        <v>682</v>
      </c>
      <c r="B523" s="5" t="s">
        <v>304</v>
      </c>
      <c r="C523" s="5" t="s">
        <v>676</v>
      </c>
      <c r="D523" s="5" t="s">
        <v>620</v>
      </c>
      <c r="E523" s="5" t="s">
        <v>631</v>
      </c>
      <c r="F523" s="45" t="n">
        <v>747.5</v>
      </c>
      <c r="G523" s="24" t="n">
        <v>583</v>
      </c>
      <c r="H523" s="46" t="n">
        <v>7894.17</v>
      </c>
      <c r="I523" s="6" t="s">
        <v>592</v>
      </c>
    </row>
    <row r="524" customFormat="false" ht="15" hidden="false" customHeight="false" outlineLevel="0" collapsed="false">
      <c r="A524" s="5" t="s">
        <v>682</v>
      </c>
      <c r="B524" s="5" t="s">
        <v>317</v>
      </c>
      <c r="C524" s="5" t="s">
        <v>676</v>
      </c>
      <c r="D524" s="5" t="s">
        <v>620</v>
      </c>
      <c r="E524" s="5" t="s">
        <v>631</v>
      </c>
      <c r="F524" s="45" t="n">
        <v>5954.1</v>
      </c>
      <c r="G524" s="24" t="n">
        <v>5070</v>
      </c>
      <c r="H524" s="46" t="n">
        <v>167545.83</v>
      </c>
      <c r="I524" s="6" t="s">
        <v>593</v>
      </c>
    </row>
    <row r="525" customFormat="false" ht="15" hidden="false" customHeight="false" outlineLevel="0" collapsed="false">
      <c r="A525" s="5" t="s">
        <v>682</v>
      </c>
      <c r="B525" s="5" t="s">
        <v>330</v>
      </c>
      <c r="C525" s="5" t="s">
        <v>676</v>
      </c>
      <c r="D525" s="5" t="s">
        <v>620</v>
      </c>
      <c r="E525" s="5" t="s">
        <v>631</v>
      </c>
      <c r="F525" s="45" t="n">
        <v>549.2</v>
      </c>
      <c r="G525" s="24" t="n">
        <v>522</v>
      </c>
      <c r="H525" s="46" t="n">
        <v>45797</v>
      </c>
      <c r="I525" s="6" t="s">
        <v>594</v>
      </c>
    </row>
    <row r="526" customFormat="false" ht="15" hidden="false" customHeight="false" outlineLevel="0" collapsed="false">
      <c r="A526" s="5" t="s">
        <v>683</v>
      </c>
      <c r="B526" s="5" t="s">
        <v>265</v>
      </c>
      <c r="C526" s="5" t="s">
        <v>684</v>
      </c>
      <c r="D526" s="5" t="s">
        <v>587</v>
      </c>
      <c r="E526" s="5" t="s">
        <v>607</v>
      </c>
      <c r="F526" s="45" t="n">
        <v>610</v>
      </c>
      <c r="G526" s="24" t="n">
        <v>355</v>
      </c>
      <c r="H526" s="46" t="n">
        <v>8672.31</v>
      </c>
      <c r="I526" s="6" t="s">
        <v>589</v>
      </c>
    </row>
    <row r="527" customFormat="false" ht="15" hidden="false" customHeight="false" outlineLevel="0" collapsed="false">
      <c r="A527" s="5" t="s">
        <v>683</v>
      </c>
      <c r="B527" s="5" t="s">
        <v>278</v>
      </c>
      <c r="C527" s="5" t="s">
        <v>684</v>
      </c>
      <c r="D527" s="5" t="s">
        <v>587</v>
      </c>
      <c r="E527" s="5" t="s">
        <v>607</v>
      </c>
      <c r="F527" s="45" t="n">
        <v>616</v>
      </c>
      <c r="G527" s="24" t="n">
        <v>344</v>
      </c>
      <c r="H527" s="46" t="n">
        <v>10703.69</v>
      </c>
      <c r="I527" s="6" t="s">
        <v>590</v>
      </c>
    </row>
    <row r="528" customFormat="false" ht="15" hidden="false" customHeight="false" outlineLevel="0" collapsed="false">
      <c r="A528" s="5" t="s">
        <v>683</v>
      </c>
      <c r="B528" s="5" t="s">
        <v>291</v>
      </c>
      <c r="C528" s="5" t="s">
        <v>684</v>
      </c>
      <c r="D528" s="5" t="s">
        <v>587</v>
      </c>
      <c r="E528" s="5" t="s">
        <v>607</v>
      </c>
      <c r="F528" s="45" t="n">
        <v>318</v>
      </c>
      <c r="G528" s="24" t="n">
        <v>196</v>
      </c>
      <c r="H528" s="46" t="n">
        <v>1584.55</v>
      </c>
      <c r="I528" s="6" t="s">
        <v>591</v>
      </c>
    </row>
    <row r="529" customFormat="false" ht="15" hidden="false" customHeight="false" outlineLevel="0" collapsed="false">
      <c r="A529" s="5" t="s">
        <v>683</v>
      </c>
      <c r="B529" s="5" t="s">
        <v>304</v>
      </c>
      <c r="C529" s="5" t="s">
        <v>684</v>
      </c>
      <c r="D529" s="5" t="s">
        <v>587</v>
      </c>
      <c r="E529" s="5" t="s">
        <v>607</v>
      </c>
      <c r="F529" s="45" t="n">
        <v>178</v>
      </c>
      <c r="G529" s="24" t="n">
        <v>115</v>
      </c>
      <c r="H529" s="46" t="n">
        <v>3113.17</v>
      </c>
      <c r="I529" s="6" t="s">
        <v>592</v>
      </c>
    </row>
    <row r="530" customFormat="false" ht="15" hidden="false" customHeight="false" outlineLevel="0" collapsed="false">
      <c r="A530" s="5" t="s">
        <v>683</v>
      </c>
      <c r="B530" s="5" t="s">
        <v>317</v>
      </c>
      <c r="C530" s="5" t="s">
        <v>684</v>
      </c>
      <c r="D530" s="5" t="s">
        <v>587</v>
      </c>
      <c r="E530" s="5" t="s">
        <v>607</v>
      </c>
      <c r="F530" s="45" t="n">
        <v>114</v>
      </c>
      <c r="G530" s="24" t="n">
        <v>94</v>
      </c>
      <c r="H530" s="46" t="n">
        <v>2154.64</v>
      </c>
      <c r="I530" s="6" t="s">
        <v>593</v>
      </c>
    </row>
    <row r="531" customFormat="false" ht="15" hidden="false" customHeight="false" outlineLevel="0" collapsed="false">
      <c r="A531" s="5" t="s">
        <v>683</v>
      </c>
      <c r="B531" s="5" t="s">
        <v>330</v>
      </c>
      <c r="C531" s="5" t="s">
        <v>684</v>
      </c>
      <c r="D531" s="5" t="s">
        <v>587</v>
      </c>
      <c r="E531" s="5" t="s">
        <v>607</v>
      </c>
      <c r="F531" s="45" t="n">
        <v>43</v>
      </c>
      <c r="G531" s="24" t="n">
        <v>27</v>
      </c>
      <c r="H531" s="46" t="n">
        <v>374.81</v>
      </c>
      <c r="I531" s="6" t="s">
        <v>594</v>
      </c>
    </row>
    <row r="532" customFormat="false" ht="15" hidden="false" customHeight="false" outlineLevel="0" collapsed="false">
      <c r="A532" s="5" t="s">
        <v>683</v>
      </c>
      <c r="B532" s="5" t="s">
        <v>343</v>
      </c>
      <c r="C532" s="5" t="s">
        <v>684</v>
      </c>
      <c r="D532" s="5" t="s">
        <v>587</v>
      </c>
      <c r="E532" s="5" t="s">
        <v>607</v>
      </c>
      <c r="F532" s="45" t="n">
        <v>29</v>
      </c>
      <c r="G532" s="24" t="n">
        <v>18</v>
      </c>
      <c r="H532" s="46" t="n">
        <v>156.99</v>
      </c>
      <c r="I532" s="6" t="s">
        <v>595</v>
      </c>
    </row>
    <row r="533" customFormat="false" ht="15" hidden="false" customHeight="false" outlineLevel="0" collapsed="false">
      <c r="A533" s="5" t="s">
        <v>685</v>
      </c>
      <c r="B533" s="5" t="s">
        <v>265</v>
      </c>
      <c r="C533" s="5" t="s">
        <v>684</v>
      </c>
      <c r="D533" s="5" t="s">
        <v>587</v>
      </c>
      <c r="E533" s="5" t="s">
        <v>611</v>
      </c>
      <c r="F533" s="45" t="n">
        <v>886</v>
      </c>
      <c r="G533" s="24" t="n">
        <v>716</v>
      </c>
      <c r="H533" s="46" t="n">
        <v>140533.8</v>
      </c>
      <c r="I533" s="6" t="s">
        <v>589</v>
      </c>
    </row>
    <row r="534" customFormat="false" ht="15" hidden="false" customHeight="false" outlineLevel="0" collapsed="false">
      <c r="A534" s="5" t="s">
        <v>685</v>
      </c>
      <c r="B534" s="5" t="s">
        <v>278</v>
      </c>
      <c r="C534" s="5" t="s">
        <v>684</v>
      </c>
      <c r="D534" s="5" t="s">
        <v>587</v>
      </c>
      <c r="E534" s="5" t="s">
        <v>611</v>
      </c>
      <c r="F534" s="45" t="n">
        <v>819</v>
      </c>
      <c r="G534" s="24" t="n">
        <v>724</v>
      </c>
      <c r="H534" s="46" t="n">
        <v>46851.02</v>
      </c>
      <c r="I534" s="6" t="s">
        <v>590</v>
      </c>
    </row>
    <row r="535" customFormat="false" ht="15" hidden="false" customHeight="false" outlineLevel="0" collapsed="false">
      <c r="A535" s="5" t="s">
        <v>685</v>
      </c>
      <c r="B535" s="5" t="s">
        <v>291</v>
      </c>
      <c r="C535" s="5" t="s">
        <v>684</v>
      </c>
      <c r="D535" s="5" t="s">
        <v>587</v>
      </c>
      <c r="E535" s="5" t="s">
        <v>611</v>
      </c>
      <c r="F535" s="45" t="n">
        <v>661.6</v>
      </c>
      <c r="G535" s="24" t="n">
        <v>576</v>
      </c>
      <c r="H535" s="46" t="n">
        <v>87605.61</v>
      </c>
      <c r="I535" s="6" t="s">
        <v>591</v>
      </c>
    </row>
    <row r="536" customFormat="false" ht="15" hidden="false" customHeight="false" outlineLevel="0" collapsed="false">
      <c r="A536" s="5" t="s">
        <v>685</v>
      </c>
      <c r="B536" s="5" t="s">
        <v>304</v>
      </c>
      <c r="C536" s="5" t="s">
        <v>684</v>
      </c>
      <c r="D536" s="5" t="s">
        <v>587</v>
      </c>
      <c r="E536" s="5" t="s">
        <v>611</v>
      </c>
      <c r="F536" s="45" t="n">
        <v>581</v>
      </c>
      <c r="G536" s="24" t="n">
        <v>502</v>
      </c>
      <c r="H536" s="46" t="n">
        <v>27625.4</v>
      </c>
      <c r="I536" s="6" t="s">
        <v>592</v>
      </c>
    </row>
    <row r="537" customFormat="false" ht="15" hidden="false" customHeight="false" outlineLevel="0" collapsed="false">
      <c r="A537" s="5" t="s">
        <v>685</v>
      </c>
      <c r="B537" s="5" t="s">
        <v>317</v>
      </c>
      <c r="C537" s="5" t="s">
        <v>684</v>
      </c>
      <c r="D537" s="5" t="s">
        <v>587</v>
      </c>
      <c r="E537" s="5" t="s">
        <v>611</v>
      </c>
      <c r="F537" s="45" t="n">
        <v>663</v>
      </c>
      <c r="G537" s="24" t="n">
        <v>559</v>
      </c>
      <c r="H537" s="46" t="n">
        <v>27323.44</v>
      </c>
      <c r="I537" s="6" t="s">
        <v>593</v>
      </c>
    </row>
    <row r="538" customFormat="false" ht="15" hidden="false" customHeight="false" outlineLevel="0" collapsed="false">
      <c r="A538" s="5" t="s">
        <v>685</v>
      </c>
      <c r="B538" s="5" t="s">
        <v>330</v>
      </c>
      <c r="C538" s="5" t="s">
        <v>684</v>
      </c>
      <c r="D538" s="5" t="s">
        <v>587</v>
      </c>
      <c r="E538" s="5" t="s">
        <v>611</v>
      </c>
      <c r="F538" s="45" t="n">
        <v>860</v>
      </c>
      <c r="G538" s="24" t="n">
        <v>403</v>
      </c>
      <c r="H538" s="46" t="n">
        <v>4371.38</v>
      </c>
      <c r="I538" s="6" t="s">
        <v>594</v>
      </c>
    </row>
    <row r="539" customFormat="false" ht="15" hidden="false" customHeight="false" outlineLevel="0" collapsed="false">
      <c r="A539" s="5" t="s">
        <v>685</v>
      </c>
      <c r="B539" s="5" t="s">
        <v>343</v>
      </c>
      <c r="C539" s="5" t="s">
        <v>684</v>
      </c>
      <c r="D539" s="5" t="s">
        <v>587</v>
      </c>
      <c r="E539" s="5" t="s">
        <v>611</v>
      </c>
      <c r="F539" s="45" t="n">
        <v>393.1</v>
      </c>
      <c r="G539" s="24" t="n">
        <v>304</v>
      </c>
      <c r="H539" s="46" t="n">
        <v>2890.34</v>
      </c>
      <c r="I539" s="6" t="s">
        <v>595</v>
      </c>
    </row>
    <row r="540" customFormat="false" ht="15" hidden="false" customHeight="false" outlineLevel="0" collapsed="false">
      <c r="A540" s="5" t="s">
        <v>685</v>
      </c>
      <c r="B540" s="5" t="s">
        <v>356</v>
      </c>
      <c r="C540" s="5" t="s">
        <v>684</v>
      </c>
      <c r="D540" s="5" t="s">
        <v>587</v>
      </c>
      <c r="E540" s="5" t="s">
        <v>611</v>
      </c>
      <c r="F540" s="45" t="n">
        <v>31</v>
      </c>
      <c r="G540" s="24" t="n">
        <v>30</v>
      </c>
      <c r="H540" s="46" t="n">
        <v>179.29</v>
      </c>
      <c r="I540" s="6" t="s">
        <v>596</v>
      </c>
    </row>
    <row r="541" customFormat="false" ht="15" hidden="false" customHeight="false" outlineLevel="0" collapsed="false">
      <c r="A541" s="5" t="s">
        <v>686</v>
      </c>
      <c r="B541" s="5" t="s">
        <v>265</v>
      </c>
      <c r="C541" s="5" t="s">
        <v>684</v>
      </c>
      <c r="D541" s="5" t="s">
        <v>587</v>
      </c>
      <c r="E541" s="5" t="s">
        <v>600</v>
      </c>
      <c r="F541" s="45" t="n">
        <v>308.2</v>
      </c>
      <c r="G541" s="24" t="n">
        <v>268</v>
      </c>
      <c r="H541" s="46" t="n">
        <v>32394.4</v>
      </c>
      <c r="I541" s="6" t="s">
        <v>589</v>
      </c>
    </row>
    <row r="542" customFormat="false" ht="15" hidden="false" customHeight="false" outlineLevel="0" collapsed="false">
      <c r="A542" s="5" t="s">
        <v>686</v>
      </c>
      <c r="B542" s="5" t="s">
        <v>278</v>
      </c>
      <c r="C542" s="5" t="s">
        <v>684</v>
      </c>
      <c r="D542" s="5" t="s">
        <v>587</v>
      </c>
      <c r="E542" s="5" t="s">
        <v>600</v>
      </c>
      <c r="F542" s="45" t="n">
        <v>138.4</v>
      </c>
      <c r="G542" s="24" t="n">
        <v>220</v>
      </c>
      <c r="H542" s="46" t="n">
        <v>2889.12</v>
      </c>
      <c r="I542" s="6" t="s">
        <v>590</v>
      </c>
    </row>
    <row r="543" customFormat="false" ht="15" hidden="false" customHeight="false" outlineLevel="0" collapsed="false">
      <c r="A543" s="5" t="s">
        <v>686</v>
      </c>
      <c r="B543" s="5" t="s">
        <v>291</v>
      </c>
      <c r="C543" s="5" t="s">
        <v>684</v>
      </c>
      <c r="D543" s="5" t="s">
        <v>587</v>
      </c>
      <c r="E543" s="5" t="s">
        <v>600</v>
      </c>
      <c r="F543" s="45" t="n">
        <v>88.9</v>
      </c>
      <c r="G543" s="24" t="n">
        <v>125</v>
      </c>
      <c r="H543" s="46" t="n">
        <v>2964.47</v>
      </c>
      <c r="I543" s="6" t="s">
        <v>591</v>
      </c>
    </row>
    <row r="544" customFormat="false" ht="15" hidden="false" customHeight="false" outlineLevel="0" collapsed="false">
      <c r="A544" s="5" t="s">
        <v>686</v>
      </c>
      <c r="B544" s="5" t="s">
        <v>304</v>
      </c>
      <c r="C544" s="5" t="s">
        <v>684</v>
      </c>
      <c r="D544" s="5" t="s">
        <v>587</v>
      </c>
      <c r="E544" s="5" t="s">
        <v>600</v>
      </c>
      <c r="F544" s="45" t="n">
        <v>73.1</v>
      </c>
      <c r="G544" s="24" t="n">
        <v>68</v>
      </c>
      <c r="H544" s="46" t="n">
        <v>664.08</v>
      </c>
      <c r="I544" s="6" t="s">
        <v>592</v>
      </c>
    </row>
    <row r="545" customFormat="false" ht="15" hidden="false" customHeight="false" outlineLevel="0" collapsed="false">
      <c r="A545" s="5" t="s">
        <v>687</v>
      </c>
      <c r="B545" s="5" t="s">
        <v>317</v>
      </c>
      <c r="C545" s="5" t="s">
        <v>684</v>
      </c>
      <c r="D545" s="5" t="s">
        <v>620</v>
      </c>
      <c r="E545" s="5" t="s">
        <v>623</v>
      </c>
      <c r="F545" s="45" t="n">
        <v>2731</v>
      </c>
      <c r="G545" s="24" t="n">
        <v>1515</v>
      </c>
      <c r="H545" s="46" t="n">
        <v>30145.9</v>
      </c>
      <c r="I545" s="6" t="s">
        <v>593</v>
      </c>
    </row>
    <row r="546" customFormat="false" ht="15" hidden="false" customHeight="false" outlineLevel="0" collapsed="false">
      <c r="A546" s="5" t="s">
        <v>687</v>
      </c>
      <c r="B546" s="5" t="s">
        <v>330</v>
      </c>
      <c r="C546" s="5" t="s">
        <v>684</v>
      </c>
      <c r="D546" s="5" t="s">
        <v>620</v>
      </c>
      <c r="E546" s="5" t="s">
        <v>623</v>
      </c>
      <c r="F546" s="45" t="n">
        <v>6158</v>
      </c>
      <c r="G546" s="24" t="n">
        <v>3988</v>
      </c>
      <c r="H546" s="46" t="n">
        <v>64351.25</v>
      </c>
      <c r="I546" s="6" t="s">
        <v>594</v>
      </c>
    </row>
    <row r="547" customFormat="false" ht="15" hidden="false" customHeight="false" outlineLevel="0" collapsed="false">
      <c r="A547" s="5" t="s">
        <v>687</v>
      </c>
      <c r="B547" s="5" t="s">
        <v>343</v>
      </c>
      <c r="C547" s="5" t="s">
        <v>684</v>
      </c>
      <c r="D547" s="5" t="s">
        <v>620</v>
      </c>
      <c r="E547" s="5" t="s">
        <v>623</v>
      </c>
      <c r="F547" s="45" t="n">
        <v>7352.8</v>
      </c>
      <c r="G547" s="24" t="n">
        <v>4778</v>
      </c>
      <c r="H547" s="46" t="n">
        <v>54811.43</v>
      </c>
      <c r="I547" s="6" t="s">
        <v>595</v>
      </c>
    </row>
    <row r="548" customFormat="false" ht="15" hidden="false" customHeight="false" outlineLevel="0" collapsed="false">
      <c r="A548" s="5" t="s">
        <v>687</v>
      </c>
      <c r="B548" s="5" t="s">
        <v>356</v>
      </c>
      <c r="C548" s="5" t="s">
        <v>684</v>
      </c>
      <c r="D548" s="5" t="s">
        <v>620</v>
      </c>
      <c r="E548" s="5" t="s">
        <v>623</v>
      </c>
      <c r="F548" s="45" t="n">
        <v>7675.8</v>
      </c>
      <c r="G548" s="24" t="n">
        <v>4727</v>
      </c>
      <c r="H548" s="46" t="n">
        <v>53168.47</v>
      </c>
      <c r="I548" s="6" t="s">
        <v>596</v>
      </c>
    </row>
    <row r="549" customFormat="false" ht="15" hidden="false" customHeight="false" outlineLevel="0" collapsed="false">
      <c r="A549" s="5" t="s">
        <v>687</v>
      </c>
      <c r="B549" s="5" t="s">
        <v>369</v>
      </c>
      <c r="C549" s="5" t="s">
        <v>684</v>
      </c>
      <c r="D549" s="5" t="s">
        <v>620</v>
      </c>
      <c r="E549" s="5" t="s">
        <v>623</v>
      </c>
      <c r="F549" s="45" t="n">
        <v>2273.4</v>
      </c>
      <c r="G549" s="24" t="n">
        <v>1539</v>
      </c>
      <c r="H549" s="46" t="n">
        <v>18439.18</v>
      </c>
      <c r="I549" s="6" t="s">
        <v>597</v>
      </c>
    </row>
    <row r="550" customFormat="false" ht="15" hidden="false" customHeight="false" outlineLevel="0" collapsed="false">
      <c r="A550" s="5" t="s">
        <v>553</v>
      </c>
      <c r="B550" s="5" t="s">
        <v>317</v>
      </c>
      <c r="C550" s="5" t="s">
        <v>684</v>
      </c>
      <c r="D550" s="5" t="s">
        <v>620</v>
      </c>
      <c r="E550" s="5" t="s">
        <v>625</v>
      </c>
      <c r="F550" s="45" t="n">
        <v>8038.8</v>
      </c>
      <c r="G550" s="24" t="n">
        <v>4253</v>
      </c>
      <c r="H550" s="46" t="n">
        <v>68676.89</v>
      </c>
      <c r="I550" s="6" t="s">
        <v>593</v>
      </c>
    </row>
    <row r="551" customFormat="false" ht="15" hidden="false" customHeight="false" outlineLevel="0" collapsed="false">
      <c r="A551" s="5" t="s">
        <v>553</v>
      </c>
      <c r="B551" s="5" t="s">
        <v>330</v>
      </c>
      <c r="C551" s="5" t="s">
        <v>684</v>
      </c>
      <c r="D551" s="5" t="s">
        <v>620</v>
      </c>
      <c r="E551" s="5" t="s">
        <v>625</v>
      </c>
      <c r="F551" s="45" t="n">
        <v>17888.4</v>
      </c>
      <c r="G551" s="24" t="n">
        <v>11341</v>
      </c>
      <c r="H551" s="46" t="n">
        <v>173897.78</v>
      </c>
      <c r="I551" s="6" t="s">
        <v>594</v>
      </c>
    </row>
    <row r="552" customFormat="false" ht="15" hidden="false" customHeight="false" outlineLevel="0" collapsed="false">
      <c r="A552" s="5" t="s">
        <v>553</v>
      </c>
      <c r="B552" s="5" t="s">
        <v>343</v>
      </c>
      <c r="C552" s="5" t="s">
        <v>684</v>
      </c>
      <c r="D552" s="5" t="s">
        <v>620</v>
      </c>
      <c r="E552" s="5" t="s">
        <v>625</v>
      </c>
      <c r="F552" s="45" t="n">
        <v>44548.7</v>
      </c>
      <c r="G552" s="24" t="n">
        <v>18470</v>
      </c>
      <c r="H552" s="46" t="n">
        <v>335588.07</v>
      </c>
      <c r="I552" s="6" t="s">
        <v>595</v>
      </c>
    </row>
    <row r="553" customFormat="false" ht="15" hidden="false" customHeight="false" outlineLevel="0" collapsed="false">
      <c r="A553" s="5" t="s">
        <v>553</v>
      </c>
      <c r="B553" s="5" t="s">
        <v>356</v>
      </c>
      <c r="C553" s="5" t="s">
        <v>684</v>
      </c>
      <c r="D553" s="5" t="s">
        <v>620</v>
      </c>
      <c r="E553" s="5" t="s">
        <v>625</v>
      </c>
      <c r="F553" s="45" t="n">
        <v>77620.1</v>
      </c>
      <c r="G553" s="24" t="n">
        <v>17090</v>
      </c>
      <c r="H553" s="46" t="n">
        <v>256963.58</v>
      </c>
      <c r="I553" s="6" t="s">
        <v>596</v>
      </c>
    </row>
    <row r="554" customFormat="false" ht="15" hidden="false" customHeight="false" outlineLevel="0" collapsed="false">
      <c r="A554" s="5" t="s">
        <v>553</v>
      </c>
      <c r="B554" s="5" t="s">
        <v>369</v>
      </c>
      <c r="C554" s="5" t="s">
        <v>684</v>
      </c>
      <c r="D554" s="5" t="s">
        <v>620</v>
      </c>
      <c r="E554" s="5" t="s">
        <v>625</v>
      </c>
      <c r="F554" s="45" t="n">
        <v>8647.4</v>
      </c>
      <c r="G554" s="24" t="n">
        <v>3754</v>
      </c>
      <c r="H554" s="46" t="n">
        <v>48375.15</v>
      </c>
      <c r="I554" s="6" t="s">
        <v>597</v>
      </c>
    </row>
    <row r="555" customFormat="false" ht="15" hidden="false" customHeight="false" outlineLevel="0" collapsed="false">
      <c r="A555" s="5" t="s">
        <v>688</v>
      </c>
      <c r="B555" s="5" t="s">
        <v>317</v>
      </c>
      <c r="C555" s="5" t="s">
        <v>684</v>
      </c>
      <c r="D555" s="5" t="s">
        <v>620</v>
      </c>
      <c r="E555" s="5" t="s">
        <v>631</v>
      </c>
      <c r="F555" s="45" t="n">
        <v>2153.2</v>
      </c>
      <c r="G555" s="24" t="n">
        <v>1907</v>
      </c>
      <c r="H555" s="46" t="n">
        <v>44214.52</v>
      </c>
      <c r="I555" s="6" t="s">
        <v>593</v>
      </c>
    </row>
    <row r="556" customFormat="false" ht="15" hidden="false" customHeight="false" outlineLevel="0" collapsed="false">
      <c r="A556" s="5" t="s">
        <v>688</v>
      </c>
      <c r="B556" s="5" t="s">
        <v>330</v>
      </c>
      <c r="C556" s="5" t="s">
        <v>684</v>
      </c>
      <c r="D556" s="5" t="s">
        <v>620</v>
      </c>
      <c r="E556" s="5" t="s">
        <v>631</v>
      </c>
      <c r="F556" s="45" t="n">
        <v>4746.3</v>
      </c>
      <c r="G556" s="24" t="n">
        <v>4451</v>
      </c>
      <c r="H556" s="46" t="n">
        <v>93157.34</v>
      </c>
      <c r="I556" s="6" t="s">
        <v>594</v>
      </c>
    </row>
    <row r="557" customFormat="false" ht="15" hidden="false" customHeight="false" outlineLevel="0" collapsed="false">
      <c r="A557" s="5" t="s">
        <v>688</v>
      </c>
      <c r="B557" s="5" t="s">
        <v>343</v>
      </c>
      <c r="C557" s="5" t="s">
        <v>684</v>
      </c>
      <c r="D557" s="5" t="s">
        <v>620</v>
      </c>
      <c r="E557" s="5" t="s">
        <v>631</v>
      </c>
      <c r="F557" s="45" t="n">
        <v>9682.5</v>
      </c>
      <c r="G557" s="24" t="n">
        <v>5230</v>
      </c>
      <c r="H557" s="46" t="n">
        <v>61890.8</v>
      </c>
      <c r="I557" s="6" t="s">
        <v>595</v>
      </c>
    </row>
    <row r="558" customFormat="false" ht="15" hidden="false" customHeight="false" outlineLevel="0" collapsed="false">
      <c r="A558" s="5" t="s">
        <v>688</v>
      </c>
      <c r="B558" s="5" t="s">
        <v>356</v>
      </c>
      <c r="C558" s="5" t="s">
        <v>684</v>
      </c>
      <c r="D558" s="5" t="s">
        <v>620</v>
      </c>
      <c r="E558" s="5" t="s">
        <v>631</v>
      </c>
      <c r="F558" s="45" t="n">
        <v>6127.2</v>
      </c>
      <c r="G558" s="24" t="n">
        <v>4776</v>
      </c>
      <c r="H558" s="46" t="n">
        <v>43849.62</v>
      </c>
      <c r="I558" s="6" t="s">
        <v>596</v>
      </c>
    </row>
    <row r="559" customFormat="false" ht="15" hidden="false" customHeight="false" outlineLevel="0" collapsed="false">
      <c r="A559" s="5" t="s">
        <v>688</v>
      </c>
      <c r="B559" s="5" t="s">
        <v>369</v>
      </c>
      <c r="C559" s="5" t="s">
        <v>684</v>
      </c>
      <c r="D559" s="5" t="s">
        <v>620</v>
      </c>
      <c r="E559" s="5" t="s">
        <v>631</v>
      </c>
      <c r="F559" s="45" t="n">
        <v>778.1</v>
      </c>
      <c r="G559" s="24" t="n">
        <v>889</v>
      </c>
      <c r="H559" s="46" t="n">
        <v>7957.74</v>
      </c>
      <c r="I559" s="6" t="s">
        <v>597</v>
      </c>
    </row>
    <row r="560" customFormat="false" ht="15" hidden="false" customHeight="false" outlineLevel="0" collapsed="false">
      <c r="A560" s="5" t="s">
        <v>689</v>
      </c>
      <c r="B560" s="5" t="s">
        <v>343</v>
      </c>
      <c r="C560" s="5" t="s">
        <v>690</v>
      </c>
      <c r="D560" s="5" t="s">
        <v>620</v>
      </c>
      <c r="E560" s="5" t="s">
        <v>623</v>
      </c>
      <c r="F560" s="45" t="n">
        <v>280.7</v>
      </c>
      <c r="G560" s="24" t="n">
        <v>189</v>
      </c>
      <c r="H560" s="46" t="n">
        <v>1146.63</v>
      </c>
      <c r="I560" s="6" t="s">
        <v>595</v>
      </c>
    </row>
    <row r="561" customFormat="false" ht="15" hidden="false" customHeight="false" outlineLevel="0" collapsed="false">
      <c r="A561" s="5" t="s">
        <v>689</v>
      </c>
      <c r="B561" s="5" t="s">
        <v>356</v>
      </c>
      <c r="C561" s="5" t="s">
        <v>690</v>
      </c>
      <c r="D561" s="5" t="s">
        <v>620</v>
      </c>
      <c r="E561" s="5" t="s">
        <v>623</v>
      </c>
      <c r="F561" s="45" t="n">
        <v>465.2</v>
      </c>
      <c r="G561" s="24" t="n">
        <v>196</v>
      </c>
      <c r="H561" s="46" t="n">
        <v>982.87</v>
      </c>
      <c r="I561" s="6" t="s">
        <v>596</v>
      </c>
    </row>
    <row r="562" customFormat="false" ht="15" hidden="false" customHeight="false" outlineLevel="0" collapsed="false">
      <c r="A562" s="5" t="s">
        <v>689</v>
      </c>
      <c r="B562" s="5" t="s">
        <v>369</v>
      </c>
      <c r="C562" s="5" t="s">
        <v>690</v>
      </c>
      <c r="D562" s="5" t="s">
        <v>620</v>
      </c>
      <c r="E562" s="5" t="s">
        <v>623</v>
      </c>
      <c r="F562" s="45" t="n">
        <v>64.3</v>
      </c>
      <c r="G562" s="24" t="n">
        <v>24</v>
      </c>
      <c r="H562" s="46" t="n">
        <v>115.56</v>
      </c>
      <c r="I562" s="6" t="s">
        <v>597</v>
      </c>
    </row>
    <row r="563" customFormat="false" ht="15" hidden="false" customHeight="false" outlineLevel="0" collapsed="false">
      <c r="A563" s="5" t="s">
        <v>555</v>
      </c>
      <c r="B563" s="5" t="s">
        <v>330</v>
      </c>
      <c r="C563" s="5" t="s">
        <v>690</v>
      </c>
      <c r="D563" s="5" t="s">
        <v>620</v>
      </c>
      <c r="E563" s="5" t="s">
        <v>625</v>
      </c>
      <c r="F563" s="45" t="n">
        <v>629.4</v>
      </c>
      <c r="G563" s="24" t="n">
        <v>430</v>
      </c>
      <c r="H563" s="46" t="n">
        <v>4057.24</v>
      </c>
      <c r="I563" s="6" t="s">
        <v>594</v>
      </c>
    </row>
    <row r="564" customFormat="false" ht="15" hidden="false" customHeight="false" outlineLevel="0" collapsed="false">
      <c r="A564" s="5" t="s">
        <v>555</v>
      </c>
      <c r="B564" s="5" t="s">
        <v>343</v>
      </c>
      <c r="C564" s="5" t="s">
        <v>690</v>
      </c>
      <c r="D564" s="5" t="s">
        <v>620</v>
      </c>
      <c r="E564" s="5" t="s">
        <v>625</v>
      </c>
      <c r="F564" s="45" t="n">
        <v>19746.5</v>
      </c>
      <c r="G564" s="24" t="n">
        <v>4440</v>
      </c>
      <c r="H564" s="46" t="n">
        <v>53321.69</v>
      </c>
      <c r="I564" s="6" t="s">
        <v>595</v>
      </c>
    </row>
    <row r="565" customFormat="false" ht="15" hidden="false" customHeight="false" outlineLevel="0" collapsed="false">
      <c r="A565" s="5" t="s">
        <v>555</v>
      </c>
      <c r="B565" s="5" t="s">
        <v>356</v>
      </c>
      <c r="C565" s="5" t="s">
        <v>690</v>
      </c>
      <c r="D565" s="5" t="s">
        <v>620</v>
      </c>
      <c r="E565" s="5" t="s">
        <v>625</v>
      </c>
      <c r="F565" s="45" t="n">
        <v>27217.7</v>
      </c>
      <c r="G565" s="24" t="n">
        <v>5359</v>
      </c>
      <c r="H565" s="46" t="n">
        <v>130973.12</v>
      </c>
      <c r="I565" s="6" t="s">
        <v>596</v>
      </c>
    </row>
    <row r="566" customFormat="false" ht="15" hidden="false" customHeight="false" outlineLevel="0" collapsed="false">
      <c r="A566" s="5" t="s">
        <v>555</v>
      </c>
      <c r="B566" s="5" t="s">
        <v>369</v>
      </c>
      <c r="C566" s="5" t="s">
        <v>690</v>
      </c>
      <c r="D566" s="5" t="s">
        <v>620</v>
      </c>
      <c r="E566" s="5" t="s">
        <v>625</v>
      </c>
      <c r="F566" s="45" t="n">
        <v>5833.2</v>
      </c>
      <c r="G566" s="24" t="n">
        <v>1038</v>
      </c>
      <c r="H566" s="46" t="n">
        <v>11958.78</v>
      </c>
      <c r="I566" s="6" t="s">
        <v>597</v>
      </c>
    </row>
    <row r="567" customFormat="false" ht="15" hidden="false" customHeight="false" outlineLevel="0" collapsed="false">
      <c r="A567" s="5" t="s">
        <v>691</v>
      </c>
      <c r="B567" s="5" t="s">
        <v>317</v>
      </c>
      <c r="C567" s="5" t="s">
        <v>690</v>
      </c>
      <c r="D567" s="5" t="s">
        <v>620</v>
      </c>
      <c r="E567" s="5" t="s">
        <v>631</v>
      </c>
      <c r="F567" s="45" t="n">
        <v>258.2</v>
      </c>
      <c r="G567" s="24" t="n">
        <v>285</v>
      </c>
      <c r="H567" s="46" t="n">
        <v>8653.39</v>
      </c>
      <c r="I567" s="6" t="s">
        <v>593</v>
      </c>
    </row>
    <row r="568" customFormat="false" ht="15" hidden="false" customHeight="false" outlineLevel="0" collapsed="false">
      <c r="A568" s="5" t="s">
        <v>691</v>
      </c>
      <c r="B568" s="5" t="s">
        <v>330</v>
      </c>
      <c r="C568" s="5" t="s">
        <v>690</v>
      </c>
      <c r="D568" s="5" t="s">
        <v>620</v>
      </c>
      <c r="E568" s="5" t="s">
        <v>631</v>
      </c>
      <c r="F568" s="45" t="n">
        <v>1880.5</v>
      </c>
      <c r="G568" s="24" t="n">
        <v>1699</v>
      </c>
      <c r="H568" s="46" t="n">
        <v>21403.89</v>
      </c>
      <c r="I568" s="6" t="s">
        <v>594</v>
      </c>
    </row>
    <row r="569" customFormat="false" ht="15" hidden="false" customHeight="false" outlineLevel="0" collapsed="false">
      <c r="A569" s="5" t="s">
        <v>691</v>
      </c>
      <c r="B569" s="5" t="s">
        <v>343</v>
      </c>
      <c r="C569" s="5" t="s">
        <v>690</v>
      </c>
      <c r="D569" s="5" t="s">
        <v>620</v>
      </c>
      <c r="E569" s="5" t="s">
        <v>631</v>
      </c>
      <c r="F569" s="45" t="n">
        <v>48632.2</v>
      </c>
      <c r="G569" s="24" t="n">
        <v>2759</v>
      </c>
      <c r="H569" s="46" t="n">
        <v>57629.14</v>
      </c>
      <c r="I569" s="6" t="s">
        <v>595</v>
      </c>
    </row>
    <row r="570" customFormat="false" ht="15" hidden="false" customHeight="false" outlineLevel="0" collapsed="false">
      <c r="A570" s="5" t="s">
        <v>691</v>
      </c>
      <c r="B570" s="5" t="s">
        <v>356</v>
      </c>
      <c r="C570" s="5" t="s">
        <v>690</v>
      </c>
      <c r="D570" s="5" t="s">
        <v>620</v>
      </c>
      <c r="E570" s="5" t="s">
        <v>631</v>
      </c>
      <c r="F570" s="45" t="n">
        <v>7169.5</v>
      </c>
      <c r="G570" s="24" t="n">
        <v>1434</v>
      </c>
      <c r="H570" s="46" t="n">
        <v>59400.31</v>
      </c>
      <c r="I570" s="6" t="s">
        <v>596</v>
      </c>
    </row>
    <row r="571" customFormat="false" ht="15" hidden="false" customHeight="false" outlineLevel="0" collapsed="false">
      <c r="A571" s="5" t="s">
        <v>691</v>
      </c>
      <c r="B571" s="5" t="s">
        <v>369</v>
      </c>
      <c r="C571" s="5" t="s">
        <v>690</v>
      </c>
      <c r="D571" s="5" t="s">
        <v>620</v>
      </c>
      <c r="E571" s="5" t="s">
        <v>631</v>
      </c>
      <c r="F571" s="45" t="n">
        <v>257.8</v>
      </c>
      <c r="G571" s="24" t="n">
        <v>189</v>
      </c>
      <c r="H571" s="46" t="n">
        <v>17411.21</v>
      </c>
      <c r="I571" s="6" t="s">
        <v>597</v>
      </c>
    </row>
    <row r="572" customFormat="false" ht="15" hidden="false" customHeight="false" outlineLevel="0" collapsed="false">
      <c r="A572" s="5" t="s">
        <v>692</v>
      </c>
      <c r="B572" s="5" t="s">
        <v>317</v>
      </c>
      <c r="C572" s="5" t="s">
        <v>693</v>
      </c>
      <c r="D572" s="5" t="s">
        <v>587</v>
      </c>
      <c r="E572" s="5" t="s">
        <v>607</v>
      </c>
      <c r="F572" s="45" t="n">
        <v>551.1</v>
      </c>
      <c r="G572" s="24" t="n">
        <v>190</v>
      </c>
      <c r="H572" s="46" t="n">
        <v>2499.18</v>
      </c>
      <c r="I572" s="6" t="s">
        <v>593</v>
      </c>
    </row>
    <row r="573" customFormat="false" ht="15" hidden="false" customHeight="false" outlineLevel="0" collapsed="false">
      <c r="A573" s="5" t="s">
        <v>692</v>
      </c>
      <c r="B573" s="5" t="s">
        <v>330</v>
      </c>
      <c r="C573" s="5" t="s">
        <v>693</v>
      </c>
      <c r="D573" s="5" t="s">
        <v>587</v>
      </c>
      <c r="E573" s="5" t="s">
        <v>607</v>
      </c>
      <c r="F573" s="45" t="n">
        <v>2978.8</v>
      </c>
      <c r="G573" s="24" t="n">
        <v>1549</v>
      </c>
      <c r="H573" s="46" t="n">
        <v>78759.75</v>
      </c>
      <c r="I573" s="6" t="s">
        <v>594</v>
      </c>
    </row>
    <row r="574" customFormat="false" ht="15" hidden="false" customHeight="false" outlineLevel="0" collapsed="false">
      <c r="A574" s="5" t="s">
        <v>692</v>
      </c>
      <c r="B574" s="5" t="s">
        <v>343</v>
      </c>
      <c r="C574" s="5" t="s">
        <v>693</v>
      </c>
      <c r="D574" s="5" t="s">
        <v>587</v>
      </c>
      <c r="E574" s="5" t="s">
        <v>607</v>
      </c>
      <c r="F574" s="45" t="n">
        <v>4526.9</v>
      </c>
      <c r="G574" s="24" t="n">
        <v>2283</v>
      </c>
      <c r="H574" s="46" t="n">
        <v>49771.57</v>
      </c>
      <c r="I574" s="6" t="s">
        <v>595</v>
      </c>
    </row>
    <row r="575" customFormat="false" ht="15" hidden="false" customHeight="false" outlineLevel="0" collapsed="false">
      <c r="A575" s="5" t="s">
        <v>692</v>
      </c>
      <c r="B575" s="5" t="s">
        <v>356</v>
      </c>
      <c r="C575" s="5" t="s">
        <v>693</v>
      </c>
      <c r="D575" s="5" t="s">
        <v>587</v>
      </c>
      <c r="E575" s="5" t="s">
        <v>607</v>
      </c>
      <c r="F575" s="45" t="n">
        <v>7274.2</v>
      </c>
      <c r="G575" s="24" t="n">
        <v>3689</v>
      </c>
      <c r="H575" s="46" t="n">
        <v>343656.56</v>
      </c>
      <c r="I575" s="6" t="s">
        <v>596</v>
      </c>
    </row>
    <row r="576" customFormat="false" ht="15" hidden="false" customHeight="false" outlineLevel="0" collapsed="false">
      <c r="A576" s="5" t="s">
        <v>692</v>
      </c>
      <c r="B576" s="5" t="s">
        <v>369</v>
      </c>
      <c r="C576" s="5" t="s">
        <v>693</v>
      </c>
      <c r="D576" s="5" t="s">
        <v>587</v>
      </c>
      <c r="E576" s="5" t="s">
        <v>607</v>
      </c>
      <c r="F576" s="45" t="n">
        <v>2137.8</v>
      </c>
      <c r="G576" s="24" t="n">
        <v>1287</v>
      </c>
      <c r="H576" s="46" t="n">
        <v>20862.9</v>
      </c>
      <c r="I576" s="6" t="s">
        <v>597</v>
      </c>
    </row>
    <row r="577" customFormat="false" ht="15" hidden="false" customHeight="false" outlineLevel="0" collapsed="false">
      <c r="A577" s="5" t="s">
        <v>694</v>
      </c>
      <c r="B577" s="5" t="s">
        <v>317</v>
      </c>
      <c r="C577" s="5" t="s">
        <v>693</v>
      </c>
      <c r="D577" s="5" t="s">
        <v>587</v>
      </c>
      <c r="E577" s="5" t="s">
        <v>607</v>
      </c>
      <c r="F577" s="45" t="n">
        <v>102.5</v>
      </c>
      <c r="G577" s="24" t="n">
        <v>75</v>
      </c>
      <c r="H577" s="46" t="n">
        <v>1298.22</v>
      </c>
      <c r="I577" s="6" t="s">
        <v>593</v>
      </c>
    </row>
    <row r="578" customFormat="false" ht="15" hidden="false" customHeight="false" outlineLevel="0" collapsed="false">
      <c r="A578" s="5" t="s">
        <v>694</v>
      </c>
      <c r="B578" s="5" t="s">
        <v>330</v>
      </c>
      <c r="C578" s="5" t="s">
        <v>693</v>
      </c>
      <c r="D578" s="5" t="s">
        <v>587</v>
      </c>
      <c r="E578" s="5" t="s">
        <v>607</v>
      </c>
      <c r="F578" s="45" t="n">
        <v>7577.4</v>
      </c>
      <c r="G578" s="24" t="n">
        <v>2421</v>
      </c>
      <c r="H578" s="46" t="n">
        <v>453960.05</v>
      </c>
      <c r="I578" s="6" t="s">
        <v>594</v>
      </c>
    </row>
    <row r="579" customFormat="false" ht="15" hidden="false" customHeight="false" outlineLevel="0" collapsed="false">
      <c r="A579" s="5" t="s">
        <v>694</v>
      </c>
      <c r="B579" s="5" t="s">
        <v>343</v>
      </c>
      <c r="C579" s="5" t="s">
        <v>693</v>
      </c>
      <c r="D579" s="5" t="s">
        <v>587</v>
      </c>
      <c r="E579" s="5" t="s">
        <v>607</v>
      </c>
      <c r="F579" s="45" t="n">
        <v>8770.3</v>
      </c>
      <c r="G579" s="24" t="n">
        <v>3197</v>
      </c>
      <c r="H579" s="46" t="n">
        <v>314655.15</v>
      </c>
      <c r="I579" s="6" t="s">
        <v>595</v>
      </c>
    </row>
    <row r="580" customFormat="false" ht="15" hidden="false" customHeight="false" outlineLevel="0" collapsed="false">
      <c r="A580" s="5" t="s">
        <v>694</v>
      </c>
      <c r="B580" s="5" t="s">
        <v>356</v>
      </c>
      <c r="C580" s="5" t="s">
        <v>693</v>
      </c>
      <c r="D580" s="5" t="s">
        <v>587</v>
      </c>
      <c r="E580" s="5" t="s">
        <v>607</v>
      </c>
      <c r="F580" s="45" t="n">
        <v>16378.1</v>
      </c>
      <c r="G580" s="24" t="n">
        <v>5999</v>
      </c>
      <c r="H580" s="46" t="n">
        <v>161896.81</v>
      </c>
      <c r="I580" s="6" t="s">
        <v>596</v>
      </c>
    </row>
    <row r="581" customFormat="false" ht="15" hidden="false" customHeight="false" outlineLevel="0" collapsed="false">
      <c r="A581" s="5" t="s">
        <v>694</v>
      </c>
      <c r="B581" s="5" t="s">
        <v>369</v>
      </c>
      <c r="C581" s="5" t="s">
        <v>693</v>
      </c>
      <c r="D581" s="5" t="s">
        <v>587</v>
      </c>
      <c r="E581" s="5" t="s">
        <v>607</v>
      </c>
      <c r="F581" s="45" t="n">
        <v>2669.5</v>
      </c>
      <c r="G581" s="24" t="n">
        <v>1305</v>
      </c>
      <c r="H581" s="46" t="n">
        <v>8356.85</v>
      </c>
      <c r="I581" s="6" t="s">
        <v>597</v>
      </c>
    </row>
    <row r="582" customFormat="false" ht="15" hidden="false" customHeight="false" outlineLevel="0" collapsed="false">
      <c r="A582" s="5" t="s">
        <v>695</v>
      </c>
      <c r="B582" s="5" t="s">
        <v>317</v>
      </c>
      <c r="C582" s="5" t="s">
        <v>693</v>
      </c>
      <c r="D582" s="5" t="s">
        <v>587</v>
      </c>
      <c r="E582" s="5" t="s">
        <v>588</v>
      </c>
      <c r="F582" s="45" t="n">
        <v>65.3</v>
      </c>
      <c r="G582" s="24" t="n">
        <v>41</v>
      </c>
      <c r="H582" s="46" t="n">
        <v>1562.49</v>
      </c>
      <c r="I582" s="6" t="s">
        <v>593</v>
      </c>
    </row>
    <row r="583" customFormat="false" ht="15" hidden="false" customHeight="false" outlineLevel="0" collapsed="false">
      <c r="A583" s="5" t="s">
        <v>695</v>
      </c>
      <c r="B583" s="5" t="s">
        <v>330</v>
      </c>
      <c r="C583" s="5" t="s">
        <v>693</v>
      </c>
      <c r="D583" s="5" t="s">
        <v>587</v>
      </c>
      <c r="E583" s="5" t="s">
        <v>588</v>
      </c>
      <c r="F583" s="45" t="n">
        <v>330.8</v>
      </c>
      <c r="G583" s="24" t="n">
        <v>240</v>
      </c>
      <c r="H583" s="46" t="n">
        <v>10402.37</v>
      </c>
      <c r="I583" s="6" t="s">
        <v>594</v>
      </c>
    </row>
    <row r="584" customFormat="false" ht="15" hidden="false" customHeight="false" outlineLevel="0" collapsed="false">
      <c r="A584" s="5" t="s">
        <v>695</v>
      </c>
      <c r="B584" s="5" t="s">
        <v>343</v>
      </c>
      <c r="C584" s="5" t="s">
        <v>693</v>
      </c>
      <c r="D584" s="5" t="s">
        <v>587</v>
      </c>
      <c r="E584" s="5" t="s">
        <v>588</v>
      </c>
      <c r="F584" s="45" t="n">
        <v>965</v>
      </c>
      <c r="G584" s="24" t="n">
        <v>409</v>
      </c>
      <c r="H584" s="46" t="n">
        <v>11006.03</v>
      </c>
      <c r="I584" s="6" t="s">
        <v>595</v>
      </c>
    </row>
    <row r="585" customFormat="false" ht="15" hidden="false" customHeight="false" outlineLevel="0" collapsed="false">
      <c r="A585" s="5" t="s">
        <v>695</v>
      </c>
      <c r="B585" s="5" t="s">
        <v>356</v>
      </c>
      <c r="C585" s="5" t="s">
        <v>693</v>
      </c>
      <c r="D585" s="5" t="s">
        <v>587</v>
      </c>
      <c r="E585" s="5" t="s">
        <v>588</v>
      </c>
      <c r="F585" s="45" t="n">
        <v>3135.2</v>
      </c>
      <c r="G585" s="24" t="n">
        <v>609</v>
      </c>
      <c r="H585" s="46" t="n">
        <v>16059.63</v>
      </c>
      <c r="I585" s="6" t="s">
        <v>596</v>
      </c>
    </row>
    <row r="586" customFormat="false" ht="15" hidden="false" customHeight="false" outlineLevel="0" collapsed="false">
      <c r="A586" s="5" t="s">
        <v>695</v>
      </c>
      <c r="B586" s="5" t="s">
        <v>369</v>
      </c>
      <c r="C586" s="5" t="s">
        <v>693</v>
      </c>
      <c r="D586" s="5" t="s">
        <v>587</v>
      </c>
      <c r="E586" s="5" t="s">
        <v>588</v>
      </c>
      <c r="F586" s="45" t="n">
        <v>722.5</v>
      </c>
      <c r="G586" s="24" t="n">
        <v>171</v>
      </c>
      <c r="H586" s="46" t="n">
        <v>6069.62</v>
      </c>
      <c r="I586" s="6" t="s">
        <v>597</v>
      </c>
    </row>
    <row r="587" customFormat="false" ht="15" hidden="false" customHeight="false" outlineLevel="0" collapsed="false">
      <c r="A587" s="5" t="s">
        <v>696</v>
      </c>
      <c r="B587" s="5" t="s">
        <v>317</v>
      </c>
      <c r="C587" s="5" t="s">
        <v>693</v>
      </c>
      <c r="D587" s="5" t="s">
        <v>587</v>
      </c>
      <c r="E587" s="5" t="s">
        <v>611</v>
      </c>
      <c r="F587" s="45" t="n">
        <v>359</v>
      </c>
      <c r="G587" s="24" t="n">
        <v>347</v>
      </c>
      <c r="H587" s="46" t="n">
        <v>6404.11</v>
      </c>
      <c r="I587" s="6" t="s">
        <v>593</v>
      </c>
    </row>
    <row r="588" customFormat="false" ht="15" hidden="false" customHeight="false" outlineLevel="0" collapsed="false">
      <c r="A588" s="5" t="s">
        <v>696</v>
      </c>
      <c r="B588" s="5" t="s">
        <v>330</v>
      </c>
      <c r="C588" s="5" t="s">
        <v>693</v>
      </c>
      <c r="D588" s="5" t="s">
        <v>587</v>
      </c>
      <c r="E588" s="5" t="s">
        <v>611</v>
      </c>
      <c r="F588" s="45" t="n">
        <v>9497.6</v>
      </c>
      <c r="G588" s="24" t="n">
        <v>6485</v>
      </c>
      <c r="H588" s="46" t="n">
        <v>494680.4</v>
      </c>
      <c r="I588" s="6" t="s">
        <v>594</v>
      </c>
    </row>
    <row r="589" customFormat="false" ht="15" hidden="false" customHeight="false" outlineLevel="0" collapsed="false">
      <c r="A589" s="5" t="s">
        <v>696</v>
      </c>
      <c r="B589" s="5" t="s">
        <v>343</v>
      </c>
      <c r="C589" s="5" t="s">
        <v>693</v>
      </c>
      <c r="D589" s="5" t="s">
        <v>587</v>
      </c>
      <c r="E589" s="5" t="s">
        <v>611</v>
      </c>
      <c r="F589" s="45" t="n">
        <v>25982.2</v>
      </c>
      <c r="G589" s="24" t="n">
        <v>11640</v>
      </c>
      <c r="H589" s="46" t="n">
        <v>685299.38</v>
      </c>
      <c r="I589" s="6" t="s">
        <v>595</v>
      </c>
    </row>
    <row r="590" customFormat="false" ht="15" hidden="false" customHeight="false" outlineLevel="0" collapsed="false">
      <c r="A590" s="5" t="s">
        <v>696</v>
      </c>
      <c r="B590" s="5" t="s">
        <v>356</v>
      </c>
      <c r="C590" s="5" t="s">
        <v>693</v>
      </c>
      <c r="D590" s="5" t="s">
        <v>587</v>
      </c>
      <c r="E590" s="5" t="s">
        <v>611</v>
      </c>
      <c r="F590" s="45" t="n">
        <v>23089.9</v>
      </c>
      <c r="G590" s="24" t="n">
        <v>19764</v>
      </c>
      <c r="H590" s="46" t="n">
        <v>1725032.56</v>
      </c>
      <c r="I590" s="6" t="s">
        <v>596</v>
      </c>
    </row>
    <row r="591" customFormat="false" ht="15" hidden="false" customHeight="false" outlineLevel="0" collapsed="false">
      <c r="A591" s="5" t="s">
        <v>696</v>
      </c>
      <c r="B591" s="5" t="s">
        <v>369</v>
      </c>
      <c r="C591" s="5" t="s">
        <v>693</v>
      </c>
      <c r="D591" s="5" t="s">
        <v>587</v>
      </c>
      <c r="E591" s="5" t="s">
        <v>611</v>
      </c>
      <c r="F591" s="45" t="n">
        <v>5067</v>
      </c>
      <c r="G591" s="24" t="n">
        <v>5223</v>
      </c>
      <c r="H591" s="46" t="n">
        <v>521519.17</v>
      </c>
      <c r="I591" s="6" t="s">
        <v>597</v>
      </c>
    </row>
    <row r="592" customFormat="false" ht="15" hidden="false" customHeight="false" outlineLevel="0" collapsed="false">
      <c r="A592" s="5" t="s">
        <v>561</v>
      </c>
      <c r="B592" s="5" t="s">
        <v>317</v>
      </c>
      <c r="C592" s="5" t="s">
        <v>693</v>
      </c>
      <c r="D592" s="5" t="s">
        <v>587</v>
      </c>
      <c r="E592" s="5" t="s">
        <v>611</v>
      </c>
      <c r="F592" s="45" t="n">
        <v>827</v>
      </c>
      <c r="G592" s="24" t="n">
        <v>600</v>
      </c>
      <c r="H592" s="46" t="n">
        <v>7629.49</v>
      </c>
      <c r="I592" s="6" t="s">
        <v>593</v>
      </c>
    </row>
    <row r="593" customFormat="false" ht="15" hidden="false" customHeight="false" outlineLevel="0" collapsed="false">
      <c r="A593" s="5" t="s">
        <v>561</v>
      </c>
      <c r="B593" s="5" t="s">
        <v>330</v>
      </c>
      <c r="C593" s="5" t="s">
        <v>693</v>
      </c>
      <c r="D593" s="5" t="s">
        <v>587</v>
      </c>
      <c r="E593" s="5" t="s">
        <v>611</v>
      </c>
      <c r="F593" s="45" t="n">
        <v>6083.3</v>
      </c>
      <c r="G593" s="24" t="n">
        <v>5167</v>
      </c>
      <c r="H593" s="46" t="n">
        <v>186630.26</v>
      </c>
      <c r="I593" s="6" t="s">
        <v>594</v>
      </c>
    </row>
    <row r="594" customFormat="false" ht="15" hidden="false" customHeight="false" outlineLevel="0" collapsed="false">
      <c r="A594" s="5" t="s">
        <v>561</v>
      </c>
      <c r="B594" s="5" t="s">
        <v>343</v>
      </c>
      <c r="C594" s="5" t="s">
        <v>693</v>
      </c>
      <c r="D594" s="5" t="s">
        <v>587</v>
      </c>
      <c r="E594" s="5" t="s">
        <v>611</v>
      </c>
      <c r="F594" s="45" t="n">
        <v>7848.6</v>
      </c>
      <c r="G594" s="24" t="n">
        <v>6281</v>
      </c>
      <c r="H594" s="46" t="n">
        <v>132362.36</v>
      </c>
      <c r="I594" s="6" t="s">
        <v>595</v>
      </c>
    </row>
    <row r="595" customFormat="false" ht="15" hidden="false" customHeight="false" outlineLevel="0" collapsed="false">
      <c r="A595" s="5" t="s">
        <v>561</v>
      </c>
      <c r="B595" s="5" t="s">
        <v>356</v>
      </c>
      <c r="C595" s="5" t="s">
        <v>693</v>
      </c>
      <c r="D595" s="5" t="s">
        <v>587</v>
      </c>
      <c r="E595" s="5" t="s">
        <v>611</v>
      </c>
      <c r="F595" s="45" t="n">
        <v>19097.3</v>
      </c>
      <c r="G595" s="24" t="n">
        <v>13863</v>
      </c>
      <c r="H595" s="46" t="n">
        <v>435166.93</v>
      </c>
      <c r="I595" s="6" t="s">
        <v>596</v>
      </c>
    </row>
    <row r="596" customFormat="false" ht="15" hidden="false" customHeight="false" outlineLevel="0" collapsed="false">
      <c r="A596" s="5" t="s">
        <v>561</v>
      </c>
      <c r="B596" s="5" t="s">
        <v>369</v>
      </c>
      <c r="C596" s="5" t="s">
        <v>693</v>
      </c>
      <c r="D596" s="5" t="s">
        <v>587</v>
      </c>
      <c r="E596" s="5" t="s">
        <v>611</v>
      </c>
      <c r="F596" s="45" t="n">
        <v>4615.4</v>
      </c>
      <c r="G596" s="24" t="n">
        <v>3502</v>
      </c>
      <c r="H596" s="46" t="n">
        <v>54475.89</v>
      </c>
      <c r="I596" s="6" t="s">
        <v>597</v>
      </c>
    </row>
    <row r="597" customFormat="false" ht="15" hidden="false" customHeight="false" outlineLevel="0" collapsed="false">
      <c r="A597" s="5" t="s">
        <v>697</v>
      </c>
      <c r="B597" s="5" t="s">
        <v>317</v>
      </c>
      <c r="C597" s="5" t="s">
        <v>693</v>
      </c>
      <c r="D597" s="5" t="s">
        <v>587</v>
      </c>
      <c r="E597" s="5" t="s">
        <v>600</v>
      </c>
      <c r="F597" s="45" t="n">
        <v>122.4</v>
      </c>
      <c r="G597" s="24" t="n">
        <v>132</v>
      </c>
      <c r="H597" s="46" t="n">
        <v>4165.48</v>
      </c>
      <c r="I597" s="6" t="s">
        <v>593</v>
      </c>
    </row>
    <row r="598" customFormat="false" ht="15" hidden="false" customHeight="false" outlineLevel="0" collapsed="false">
      <c r="A598" s="5" t="s">
        <v>697</v>
      </c>
      <c r="B598" s="5" t="s">
        <v>330</v>
      </c>
      <c r="C598" s="5" t="s">
        <v>693</v>
      </c>
      <c r="D598" s="5" t="s">
        <v>587</v>
      </c>
      <c r="E598" s="5" t="s">
        <v>600</v>
      </c>
      <c r="F598" s="45" t="n">
        <v>1038.6</v>
      </c>
      <c r="G598" s="24" t="n">
        <v>823</v>
      </c>
      <c r="H598" s="46" t="n">
        <v>41774.05</v>
      </c>
      <c r="I598" s="6" t="s">
        <v>594</v>
      </c>
    </row>
    <row r="599" customFormat="false" ht="15" hidden="false" customHeight="false" outlineLevel="0" collapsed="false">
      <c r="A599" s="5" t="s">
        <v>697</v>
      </c>
      <c r="B599" s="5" t="s">
        <v>343</v>
      </c>
      <c r="C599" s="5" t="s">
        <v>693</v>
      </c>
      <c r="D599" s="5" t="s">
        <v>587</v>
      </c>
      <c r="E599" s="5" t="s">
        <v>600</v>
      </c>
      <c r="F599" s="45" t="n">
        <v>1315.5</v>
      </c>
      <c r="G599" s="24" t="n">
        <v>799</v>
      </c>
      <c r="H599" s="46" t="n">
        <v>37289.77</v>
      </c>
      <c r="I599" s="6" t="s">
        <v>595</v>
      </c>
    </row>
    <row r="600" customFormat="false" ht="15" hidden="false" customHeight="false" outlineLevel="0" collapsed="false">
      <c r="A600" s="5" t="s">
        <v>697</v>
      </c>
      <c r="B600" s="5" t="s">
        <v>356</v>
      </c>
      <c r="C600" s="5" t="s">
        <v>693</v>
      </c>
      <c r="D600" s="5" t="s">
        <v>587</v>
      </c>
      <c r="E600" s="5" t="s">
        <v>600</v>
      </c>
      <c r="F600" s="45" t="n">
        <v>3642.9</v>
      </c>
      <c r="G600" s="24" t="n">
        <v>1673</v>
      </c>
      <c r="H600" s="46" t="n">
        <v>78496.59</v>
      </c>
      <c r="I600" s="6" t="s">
        <v>596</v>
      </c>
    </row>
    <row r="601" customFormat="false" ht="15" hidden="false" customHeight="false" outlineLevel="0" collapsed="false">
      <c r="A601" s="5" t="s">
        <v>697</v>
      </c>
      <c r="B601" s="5" t="s">
        <v>369</v>
      </c>
      <c r="C601" s="5" t="s">
        <v>693</v>
      </c>
      <c r="D601" s="5" t="s">
        <v>587</v>
      </c>
      <c r="E601" s="5" t="s">
        <v>600</v>
      </c>
      <c r="F601" s="45" t="n">
        <v>1423.8</v>
      </c>
      <c r="G601" s="24" t="n">
        <v>488</v>
      </c>
      <c r="H601" s="46" t="n">
        <v>17741.75</v>
      </c>
      <c r="I601" s="6" t="s">
        <v>597</v>
      </c>
    </row>
    <row r="602" customFormat="false" ht="15" hidden="false" customHeight="false" outlineLevel="0" collapsed="false">
      <c r="A602" s="5" t="s">
        <v>552</v>
      </c>
      <c r="B602" s="5" t="s">
        <v>330</v>
      </c>
      <c r="C602" s="5" t="s">
        <v>698</v>
      </c>
      <c r="D602" s="5" t="s">
        <v>620</v>
      </c>
      <c r="E602" s="5" t="s">
        <v>625</v>
      </c>
      <c r="F602" s="45" t="n">
        <v>212</v>
      </c>
      <c r="G602" s="24" t="n">
        <v>147</v>
      </c>
      <c r="H602" s="46" t="n">
        <v>3102.59</v>
      </c>
      <c r="I602" s="6" t="s">
        <v>594</v>
      </c>
    </row>
    <row r="603" customFormat="false" ht="15" hidden="false" customHeight="false" outlineLevel="0" collapsed="false">
      <c r="A603" s="5" t="s">
        <v>552</v>
      </c>
      <c r="B603" s="5" t="s">
        <v>343</v>
      </c>
      <c r="C603" s="5" t="s">
        <v>698</v>
      </c>
      <c r="D603" s="5" t="s">
        <v>620</v>
      </c>
      <c r="E603" s="5" t="s">
        <v>625</v>
      </c>
      <c r="F603" s="45" t="n">
        <v>10514.2</v>
      </c>
      <c r="G603" s="24" t="n">
        <v>2792</v>
      </c>
      <c r="H603" s="46" t="n">
        <v>36628.53</v>
      </c>
      <c r="I603" s="6" t="s">
        <v>595</v>
      </c>
    </row>
    <row r="604" customFormat="false" ht="15" hidden="false" customHeight="false" outlineLevel="0" collapsed="false">
      <c r="A604" s="5" t="s">
        <v>552</v>
      </c>
      <c r="B604" s="5" t="s">
        <v>356</v>
      </c>
      <c r="C604" s="5" t="s">
        <v>698</v>
      </c>
      <c r="D604" s="5" t="s">
        <v>620</v>
      </c>
      <c r="E604" s="5" t="s">
        <v>625</v>
      </c>
      <c r="F604" s="45" t="n">
        <v>10257.8</v>
      </c>
      <c r="G604" s="24" t="n">
        <v>3891</v>
      </c>
      <c r="H604" s="46" t="n">
        <v>43167.55</v>
      </c>
      <c r="I604" s="6" t="s">
        <v>596</v>
      </c>
    </row>
    <row r="605" customFormat="false" ht="15" hidden="false" customHeight="false" outlineLevel="0" collapsed="false">
      <c r="A605" s="5" t="s">
        <v>552</v>
      </c>
      <c r="B605" s="5" t="s">
        <v>369</v>
      </c>
      <c r="C605" s="5" t="s">
        <v>698</v>
      </c>
      <c r="D605" s="5" t="s">
        <v>620</v>
      </c>
      <c r="E605" s="5" t="s">
        <v>625</v>
      </c>
      <c r="F605" s="45" t="n">
        <v>582.5</v>
      </c>
      <c r="G605" s="24" t="n">
        <v>494</v>
      </c>
      <c r="H605" s="46" t="n">
        <v>6107.82</v>
      </c>
      <c r="I605" s="6" t="s">
        <v>597</v>
      </c>
    </row>
    <row r="606" customFormat="false" ht="15" hidden="false" customHeight="false" outlineLevel="0" collapsed="false">
      <c r="A606" s="5" t="s">
        <v>699</v>
      </c>
      <c r="B606" s="5" t="s">
        <v>330</v>
      </c>
      <c r="C606" s="5" t="s">
        <v>698</v>
      </c>
      <c r="D606" s="5" t="s">
        <v>620</v>
      </c>
      <c r="E606" s="5" t="s">
        <v>631</v>
      </c>
      <c r="F606" s="45" t="n">
        <v>119.5</v>
      </c>
      <c r="G606" s="24" t="n">
        <v>78</v>
      </c>
      <c r="H606" s="46" t="n">
        <v>1093.81</v>
      </c>
      <c r="I606" s="6" t="s">
        <v>594</v>
      </c>
    </row>
    <row r="607" customFormat="false" ht="15" hidden="false" customHeight="false" outlineLevel="0" collapsed="false">
      <c r="A607" s="5" t="s">
        <v>699</v>
      </c>
      <c r="B607" s="5" t="s">
        <v>343</v>
      </c>
      <c r="C607" s="5" t="s">
        <v>698</v>
      </c>
      <c r="D607" s="5" t="s">
        <v>620</v>
      </c>
      <c r="E607" s="5" t="s">
        <v>631</v>
      </c>
      <c r="F607" s="45" t="n">
        <v>1180.4</v>
      </c>
      <c r="G607" s="24" t="n">
        <v>914</v>
      </c>
      <c r="H607" s="46" t="n">
        <v>8432.59</v>
      </c>
      <c r="I607" s="6" t="s">
        <v>595</v>
      </c>
    </row>
    <row r="608" customFormat="false" ht="15" hidden="false" customHeight="false" outlineLevel="0" collapsed="false">
      <c r="A608" s="5" t="s">
        <v>699</v>
      </c>
      <c r="B608" s="5" t="s">
        <v>356</v>
      </c>
      <c r="C608" s="5" t="s">
        <v>698</v>
      </c>
      <c r="D608" s="5" t="s">
        <v>620</v>
      </c>
      <c r="E608" s="5" t="s">
        <v>631</v>
      </c>
      <c r="F608" s="45" t="n">
        <v>830.2</v>
      </c>
      <c r="G608" s="24" t="n">
        <v>764</v>
      </c>
      <c r="H608" s="46" t="n">
        <v>7464.24</v>
      </c>
      <c r="I608" s="6" t="s">
        <v>596</v>
      </c>
    </row>
    <row r="609" customFormat="false" ht="15" hidden="false" customHeight="false" outlineLevel="0" collapsed="false">
      <c r="A609" s="5" t="s">
        <v>548</v>
      </c>
      <c r="B609" s="5" t="s">
        <v>317</v>
      </c>
      <c r="C609" s="5" t="s">
        <v>700</v>
      </c>
      <c r="D609" s="5" t="s">
        <v>620</v>
      </c>
      <c r="E609" s="5" t="s">
        <v>640</v>
      </c>
      <c r="F609" s="45" t="n">
        <v>797.1</v>
      </c>
      <c r="G609" s="24" t="n">
        <v>607</v>
      </c>
      <c r="H609" s="46" t="n">
        <v>14409.57</v>
      </c>
      <c r="I609" s="6" t="s">
        <v>593</v>
      </c>
    </row>
    <row r="610" customFormat="false" ht="15" hidden="false" customHeight="false" outlineLevel="0" collapsed="false">
      <c r="A610" s="5" t="s">
        <v>548</v>
      </c>
      <c r="B610" s="5" t="s">
        <v>330</v>
      </c>
      <c r="C610" s="5" t="s">
        <v>700</v>
      </c>
      <c r="D610" s="5" t="s">
        <v>620</v>
      </c>
      <c r="E610" s="5" t="s">
        <v>640</v>
      </c>
      <c r="F610" s="45" t="n">
        <v>1987</v>
      </c>
      <c r="G610" s="24" t="n">
        <v>1510</v>
      </c>
      <c r="H610" s="46" t="n">
        <v>31846.14</v>
      </c>
      <c r="I610" s="6" t="s">
        <v>594</v>
      </c>
    </row>
    <row r="611" customFormat="false" ht="15" hidden="false" customHeight="false" outlineLevel="0" collapsed="false">
      <c r="A611" s="5" t="s">
        <v>548</v>
      </c>
      <c r="B611" s="5" t="s">
        <v>343</v>
      </c>
      <c r="C611" s="5" t="s">
        <v>700</v>
      </c>
      <c r="D611" s="5" t="s">
        <v>620</v>
      </c>
      <c r="E611" s="5" t="s">
        <v>640</v>
      </c>
      <c r="F611" s="45" t="n">
        <v>3924.9</v>
      </c>
      <c r="G611" s="24" t="n">
        <v>1902</v>
      </c>
      <c r="H611" s="46" t="n">
        <v>27804.25</v>
      </c>
      <c r="I611" s="6" t="s">
        <v>595</v>
      </c>
    </row>
    <row r="612" customFormat="false" ht="15" hidden="false" customHeight="false" outlineLevel="0" collapsed="false">
      <c r="A612" s="5" t="s">
        <v>548</v>
      </c>
      <c r="B612" s="5" t="s">
        <v>356</v>
      </c>
      <c r="C612" s="5" t="s">
        <v>700</v>
      </c>
      <c r="D612" s="5" t="s">
        <v>620</v>
      </c>
      <c r="E612" s="5" t="s">
        <v>640</v>
      </c>
      <c r="F612" s="45" t="n">
        <v>3746.2</v>
      </c>
      <c r="G612" s="24" t="n">
        <v>1645</v>
      </c>
      <c r="H612" s="46" t="n">
        <v>31751.59</v>
      </c>
      <c r="I612" s="6" t="s">
        <v>596</v>
      </c>
    </row>
    <row r="613" customFormat="false" ht="15" hidden="false" customHeight="false" outlineLevel="0" collapsed="false">
      <c r="A613" s="5" t="s">
        <v>548</v>
      </c>
      <c r="B613" s="5" t="s">
        <v>369</v>
      </c>
      <c r="C613" s="5" t="s">
        <v>700</v>
      </c>
      <c r="D613" s="5" t="s">
        <v>620</v>
      </c>
      <c r="E613" s="5" t="s">
        <v>640</v>
      </c>
      <c r="F613" s="45" t="n">
        <v>348.4</v>
      </c>
      <c r="G613" s="24" t="n">
        <v>219</v>
      </c>
      <c r="H613" s="46" t="n">
        <v>3071.68</v>
      </c>
      <c r="I613" s="6" t="s">
        <v>597</v>
      </c>
    </row>
    <row r="614" customFormat="false" ht="15" hidden="false" customHeight="false" outlineLevel="0" collapsed="false">
      <c r="A614" s="5" t="s">
        <v>701</v>
      </c>
      <c r="B614" s="5" t="s">
        <v>317</v>
      </c>
      <c r="C614" s="5" t="s">
        <v>700</v>
      </c>
      <c r="D614" s="5" t="s">
        <v>620</v>
      </c>
      <c r="E614" s="5" t="s">
        <v>640</v>
      </c>
      <c r="F614" s="45" t="n">
        <v>157</v>
      </c>
      <c r="G614" s="24" t="n">
        <v>107</v>
      </c>
      <c r="H614" s="46" t="n">
        <v>2150.85</v>
      </c>
      <c r="I614" s="6" t="s">
        <v>593</v>
      </c>
    </row>
    <row r="615" customFormat="false" ht="15" hidden="false" customHeight="false" outlineLevel="0" collapsed="false">
      <c r="A615" s="5" t="s">
        <v>701</v>
      </c>
      <c r="B615" s="5" t="s">
        <v>330</v>
      </c>
      <c r="C615" s="5" t="s">
        <v>700</v>
      </c>
      <c r="D615" s="5" t="s">
        <v>620</v>
      </c>
      <c r="E615" s="5" t="s">
        <v>640</v>
      </c>
      <c r="F615" s="45" t="n">
        <v>619</v>
      </c>
      <c r="G615" s="24" t="n">
        <v>441</v>
      </c>
      <c r="H615" s="46" t="n">
        <v>10088.59</v>
      </c>
      <c r="I615" s="6" t="s">
        <v>594</v>
      </c>
    </row>
    <row r="616" customFormat="false" ht="15" hidden="false" customHeight="false" outlineLevel="0" collapsed="false">
      <c r="A616" s="5" t="s">
        <v>701</v>
      </c>
      <c r="B616" s="5" t="s">
        <v>343</v>
      </c>
      <c r="C616" s="5" t="s">
        <v>700</v>
      </c>
      <c r="D616" s="5" t="s">
        <v>620</v>
      </c>
      <c r="E616" s="5" t="s">
        <v>640</v>
      </c>
      <c r="F616" s="45" t="n">
        <v>908.8</v>
      </c>
      <c r="G616" s="24" t="n">
        <v>570</v>
      </c>
      <c r="H616" s="46" t="n">
        <v>9482.57</v>
      </c>
      <c r="I616" s="6" t="s">
        <v>595</v>
      </c>
    </row>
    <row r="617" customFormat="false" ht="15" hidden="false" customHeight="false" outlineLevel="0" collapsed="false">
      <c r="A617" s="5" t="s">
        <v>701</v>
      </c>
      <c r="B617" s="5" t="s">
        <v>356</v>
      </c>
      <c r="C617" s="5" t="s">
        <v>700</v>
      </c>
      <c r="D617" s="5" t="s">
        <v>620</v>
      </c>
      <c r="E617" s="5" t="s">
        <v>640</v>
      </c>
      <c r="F617" s="45" t="n">
        <v>3857.2</v>
      </c>
      <c r="G617" s="24" t="n">
        <v>951</v>
      </c>
      <c r="H617" s="46" t="n">
        <v>11029.27</v>
      </c>
      <c r="I617" s="6" t="s">
        <v>596</v>
      </c>
    </row>
    <row r="618" customFormat="false" ht="15" hidden="false" customHeight="false" outlineLevel="0" collapsed="false">
      <c r="A618" s="5" t="s">
        <v>701</v>
      </c>
      <c r="B618" s="5" t="s">
        <v>369</v>
      </c>
      <c r="C618" s="5" t="s">
        <v>700</v>
      </c>
      <c r="D618" s="5" t="s">
        <v>620</v>
      </c>
      <c r="E618" s="5" t="s">
        <v>640</v>
      </c>
      <c r="F618" s="45" t="n">
        <v>143.7</v>
      </c>
      <c r="G618" s="24" t="n">
        <v>129</v>
      </c>
      <c r="H618" s="46" t="n">
        <v>1350.89</v>
      </c>
      <c r="I618" s="6" t="s">
        <v>597</v>
      </c>
    </row>
    <row r="619" customFormat="false" ht="15" hidden="false" customHeight="false" outlineLevel="0" collapsed="false">
      <c r="A619" s="5" t="s">
        <v>559</v>
      </c>
      <c r="B619" s="5" t="s">
        <v>317</v>
      </c>
      <c r="C619" s="5" t="s">
        <v>700</v>
      </c>
      <c r="D619" s="5" t="s">
        <v>620</v>
      </c>
      <c r="E619" s="5" t="s">
        <v>643</v>
      </c>
      <c r="F619" s="45" t="n">
        <v>938</v>
      </c>
      <c r="G619" s="24" t="n">
        <v>852</v>
      </c>
      <c r="H619" s="46" t="n">
        <v>14729.62</v>
      </c>
      <c r="I619" s="6" t="s">
        <v>593</v>
      </c>
    </row>
    <row r="620" customFormat="false" ht="15" hidden="false" customHeight="false" outlineLevel="0" collapsed="false">
      <c r="A620" s="5" t="s">
        <v>559</v>
      </c>
      <c r="B620" s="5" t="s">
        <v>330</v>
      </c>
      <c r="C620" s="5" t="s">
        <v>700</v>
      </c>
      <c r="D620" s="5" t="s">
        <v>620</v>
      </c>
      <c r="E620" s="5" t="s">
        <v>643</v>
      </c>
      <c r="F620" s="45" t="n">
        <v>3777.7</v>
      </c>
      <c r="G620" s="24" t="n">
        <v>3214</v>
      </c>
      <c r="H620" s="46" t="n">
        <v>49921.6</v>
      </c>
      <c r="I620" s="6" t="s">
        <v>594</v>
      </c>
    </row>
    <row r="621" customFormat="false" ht="15" hidden="false" customHeight="false" outlineLevel="0" collapsed="false">
      <c r="A621" s="5" t="s">
        <v>559</v>
      </c>
      <c r="B621" s="5" t="s">
        <v>343</v>
      </c>
      <c r="C621" s="5" t="s">
        <v>700</v>
      </c>
      <c r="D621" s="5" t="s">
        <v>620</v>
      </c>
      <c r="E621" s="5" t="s">
        <v>643</v>
      </c>
      <c r="F621" s="45" t="n">
        <v>3212.3</v>
      </c>
      <c r="G621" s="24" t="n">
        <v>3142</v>
      </c>
      <c r="H621" s="46" t="n">
        <v>43210.36</v>
      </c>
      <c r="I621" s="6" t="s">
        <v>595</v>
      </c>
    </row>
    <row r="622" customFormat="false" ht="15" hidden="false" customHeight="false" outlineLevel="0" collapsed="false">
      <c r="A622" s="5" t="s">
        <v>559</v>
      </c>
      <c r="B622" s="5" t="s">
        <v>356</v>
      </c>
      <c r="C622" s="5" t="s">
        <v>700</v>
      </c>
      <c r="D622" s="5" t="s">
        <v>620</v>
      </c>
      <c r="E622" s="5" t="s">
        <v>643</v>
      </c>
      <c r="F622" s="45" t="n">
        <v>2591.4</v>
      </c>
      <c r="G622" s="24" t="n">
        <v>2075</v>
      </c>
      <c r="H622" s="46" t="n">
        <v>31931.21</v>
      </c>
      <c r="I622" s="6" t="s">
        <v>596</v>
      </c>
    </row>
    <row r="623" customFormat="false" ht="15" hidden="false" customHeight="false" outlineLevel="0" collapsed="false">
      <c r="A623" s="5" t="s">
        <v>559</v>
      </c>
      <c r="B623" s="5" t="s">
        <v>369</v>
      </c>
      <c r="C623" s="5" t="s">
        <v>700</v>
      </c>
      <c r="D623" s="5" t="s">
        <v>620</v>
      </c>
      <c r="E623" s="5" t="s">
        <v>643</v>
      </c>
      <c r="F623" s="45" t="n">
        <v>676.9</v>
      </c>
      <c r="G623" s="24" t="n">
        <v>185</v>
      </c>
      <c r="H623" s="46" t="n">
        <v>1880.01</v>
      </c>
      <c r="I623" s="6" t="s">
        <v>597</v>
      </c>
    </row>
    <row r="624" customFormat="false" ht="15" hidden="false" customHeight="false" outlineLevel="0" collapsed="false">
      <c r="A624" s="5" t="s">
        <v>702</v>
      </c>
      <c r="B624" s="5" t="s">
        <v>317</v>
      </c>
      <c r="C624" s="5" t="s">
        <v>700</v>
      </c>
      <c r="D624" s="5" t="s">
        <v>620</v>
      </c>
      <c r="E624" s="5" t="s">
        <v>643</v>
      </c>
      <c r="F624" s="45" t="n">
        <v>157</v>
      </c>
      <c r="G624" s="24" t="n">
        <v>140</v>
      </c>
      <c r="H624" s="46" t="n">
        <v>3105.98</v>
      </c>
      <c r="I624" s="6" t="s">
        <v>593</v>
      </c>
    </row>
    <row r="625" customFormat="false" ht="15" hidden="false" customHeight="false" outlineLevel="0" collapsed="false">
      <c r="A625" s="5" t="s">
        <v>702</v>
      </c>
      <c r="B625" s="5" t="s">
        <v>330</v>
      </c>
      <c r="C625" s="5" t="s">
        <v>700</v>
      </c>
      <c r="D625" s="5" t="s">
        <v>620</v>
      </c>
      <c r="E625" s="5" t="s">
        <v>643</v>
      </c>
      <c r="F625" s="45" t="n">
        <v>750.5</v>
      </c>
      <c r="G625" s="24" t="n">
        <v>677</v>
      </c>
      <c r="H625" s="46" t="n">
        <v>14896.42</v>
      </c>
      <c r="I625" s="6" t="s">
        <v>594</v>
      </c>
    </row>
    <row r="626" customFormat="false" ht="15" hidden="false" customHeight="false" outlineLevel="0" collapsed="false">
      <c r="A626" s="5" t="s">
        <v>702</v>
      </c>
      <c r="B626" s="5" t="s">
        <v>343</v>
      </c>
      <c r="C626" s="5" t="s">
        <v>700</v>
      </c>
      <c r="D626" s="5" t="s">
        <v>620</v>
      </c>
      <c r="E626" s="5" t="s">
        <v>643</v>
      </c>
      <c r="F626" s="45" t="n">
        <v>1580.6</v>
      </c>
      <c r="G626" s="24" t="n">
        <v>1002</v>
      </c>
      <c r="H626" s="46" t="n">
        <v>20711.51</v>
      </c>
      <c r="I626" s="6" t="s">
        <v>595</v>
      </c>
    </row>
    <row r="627" customFormat="false" ht="15" hidden="false" customHeight="false" outlineLevel="0" collapsed="false">
      <c r="A627" s="5" t="s">
        <v>702</v>
      </c>
      <c r="B627" s="5" t="s">
        <v>356</v>
      </c>
      <c r="C627" s="5" t="s">
        <v>700</v>
      </c>
      <c r="D627" s="5" t="s">
        <v>620</v>
      </c>
      <c r="E627" s="5" t="s">
        <v>643</v>
      </c>
      <c r="F627" s="45" t="n">
        <v>2489.8</v>
      </c>
      <c r="G627" s="24" t="n">
        <v>1257</v>
      </c>
      <c r="H627" s="46" t="n">
        <v>15729.87</v>
      </c>
      <c r="I627" s="6" t="s">
        <v>596</v>
      </c>
    </row>
    <row r="628" customFormat="false" ht="15" hidden="false" customHeight="false" outlineLevel="0" collapsed="false">
      <c r="A628" s="5" t="s">
        <v>702</v>
      </c>
      <c r="B628" s="5" t="s">
        <v>369</v>
      </c>
      <c r="C628" s="5" t="s">
        <v>700</v>
      </c>
      <c r="D628" s="5" t="s">
        <v>620</v>
      </c>
      <c r="E628" s="5" t="s">
        <v>643</v>
      </c>
      <c r="F628" s="45" t="n">
        <v>222.3</v>
      </c>
      <c r="G628" s="24" t="n">
        <v>216</v>
      </c>
      <c r="H628" s="46" t="n">
        <v>2522.58</v>
      </c>
      <c r="I628" s="6" t="s">
        <v>597</v>
      </c>
    </row>
    <row r="629" customFormat="false" ht="15" hidden="false" customHeight="false" outlineLevel="0" collapsed="false">
      <c r="A629" s="5" t="s">
        <v>703</v>
      </c>
      <c r="B629" s="5" t="s">
        <v>343</v>
      </c>
      <c r="C629" s="5" t="s">
        <v>704</v>
      </c>
      <c r="D629" s="5" t="s">
        <v>587</v>
      </c>
      <c r="E629" s="5" t="s">
        <v>607</v>
      </c>
      <c r="F629" s="45" t="n">
        <v>125</v>
      </c>
      <c r="G629" s="24" t="n">
        <v>30</v>
      </c>
      <c r="H629" s="46" t="n">
        <v>131.59</v>
      </c>
      <c r="I629" s="6" t="s">
        <v>595</v>
      </c>
    </row>
    <row r="630" customFormat="false" ht="15" hidden="false" customHeight="false" outlineLevel="0" collapsed="false">
      <c r="A630" s="5" t="s">
        <v>703</v>
      </c>
      <c r="B630" s="5" t="s">
        <v>356</v>
      </c>
      <c r="C630" s="5" t="s">
        <v>704</v>
      </c>
      <c r="D630" s="5" t="s">
        <v>587</v>
      </c>
      <c r="E630" s="5" t="s">
        <v>607</v>
      </c>
      <c r="F630" s="45" t="n">
        <v>2407.1</v>
      </c>
      <c r="G630" s="24" t="n">
        <v>1271</v>
      </c>
      <c r="H630" s="46" t="n">
        <v>32538.74</v>
      </c>
      <c r="I630" s="6" t="s">
        <v>596</v>
      </c>
    </row>
    <row r="631" customFormat="false" ht="15" hidden="false" customHeight="false" outlineLevel="0" collapsed="false">
      <c r="A631" s="5" t="s">
        <v>703</v>
      </c>
      <c r="B631" s="5" t="s">
        <v>369</v>
      </c>
      <c r="C631" s="5" t="s">
        <v>704</v>
      </c>
      <c r="D631" s="5" t="s">
        <v>587</v>
      </c>
      <c r="E631" s="5" t="s">
        <v>607</v>
      </c>
      <c r="F631" s="45" t="n">
        <v>155.9</v>
      </c>
      <c r="G631" s="24" t="n">
        <v>116</v>
      </c>
      <c r="H631" s="46" t="n">
        <v>1448.82</v>
      </c>
      <c r="I631" s="6" t="s">
        <v>597</v>
      </c>
    </row>
    <row r="632" customFormat="false" ht="15" hidden="false" customHeight="false" outlineLevel="0" collapsed="false">
      <c r="A632" s="5" t="s">
        <v>705</v>
      </c>
      <c r="B632" s="5" t="s">
        <v>265</v>
      </c>
      <c r="C632" s="5" t="s">
        <v>704</v>
      </c>
      <c r="D632" s="5" t="s">
        <v>587</v>
      </c>
      <c r="E632" s="5" t="s">
        <v>607</v>
      </c>
      <c r="F632" s="45" t="n">
        <v>11995.8</v>
      </c>
      <c r="G632" s="24" t="n">
        <v>6315</v>
      </c>
      <c r="H632" s="46" t="n">
        <v>695509.54</v>
      </c>
      <c r="I632" s="6" t="s">
        <v>589</v>
      </c>
    </row>
    <row r="633" customFormat="false" ht="15" hidden="false" customHeight="false" outlineLevel="0" collapsed="false">
      <c r="A633" s="5" t="s">
        <v>705</v>
      </c>
      <c r="B633" s="5" t="s">
        <v>278</v>
      </c>
      <c r="C633" s="5" t="s">
        <v>704</v>
      </c>
      <c r="D633" s="5" t="s">
        <v>587</v>
      </c>
      <c r="E633" s="5" t="s">
        <v>607</v>
      </c>
      <c r="F633" s="45" t="n">
        <v>12328.8</v>
      </c>
      <c r="G633" s="24" t="n">
        <v>6716</v>
      </c>
      <c r="H633" s="46" t="n">
        <v>263110.47</v>
      </c>
      <c r="I633" s="6" t="s">
        <v>590</v>
      </c>
    </row>
    <row r="634" customFormat="false" ht="15" hidden="false" customHeight="false" outlineLevel="0" collapsed="false">
      <c r="A634" s="5" t="s">
        <v>705</v>
      </c>
      <c r="B634" s="5" t="s">
        <v>291</v>
      </c>
      <c r="C634" s="5" t="s">
        <v>704</v>
      </c>
      <c r="D634" s="5" t="s">
        <v>587</v>
      </c>
      <c r="E634" s="5" t="s">
        <v>607</v>
      </c>
      <c r="F634" s="45" t="n">
        <v>11173.1</v>
      </c>
      <c r="G634" s="24" t="n">
        <v>5508</v>
      </c>
      <c r="H634" s="46" t="n">
        <v>370658.85</v>
      </c>
      <c r="I634" s="6" t="s">
        <v>591</v>
      </c>
    </row>
    <row r="635" customFormat="false" ht="15" hidden="false" customHeight="false" outlineLevel="0" collapsed="false">
      <c r="A635" s="5" t="s">
        <v>705</v>
      </c>
      <c r="B635" s="5" t="s">
        <v>304</v>
      </c>
      <c r="C635" s="5" t="s">
        <v>704</v>
      </c>
      <c r="D635" s="5" t="s">
        <v>587</v>
      </c>
      <c r="E635" s="5" t="s">
        <v>607</v>
      </c>
      <c r="F635" s="45" t="n">
        <v>14253.4</v>
      </c>
      <c r="G635" s="24" t="n">
        <v>7453</v>
      </c>
      <c r="H635" s="46" t="n">
        <v>674940.03</v>
      </c>
      <c r="I635" s="6" t="s">
        <v>592</v>
      </c>
    </row>
    <row r="636" customFormat="false" ht="15" hidden="false" customHeight="false" outlineLevel="0" collapsed="false">
      <c r="A636" s="5" t="s">
        <v>705</v>
      </c>
      <c r="B636" s="5" t="s">
        <v>317</v>
      </c>
      <c r="C636" s="5" t="s">
        <v>704</v>
      </c>
      <c r="D636" s="5" t="s">
        <v>587</v>
      </c>
      <c r="E636" s="5" t="s">
        <v>607</v>
      </c>
      <c r="F636" s="45" t="n">
        <v>15768.4</v>
      </c>
      <c r="G636" s="24" t="n">
        <v>8520</v>
      </c>
      <c r="H636" s="46" t="n">
        <v>611446.29</v>
      </c>
      <c r="I636" s="6" t="s">
        <v>593</v>
      </c>
    </row>
    <row r="637" customFormat="false" ht="15" hidden="false" customHeight="false" outlineLevel="0" collapsed="false">
      <c r="A637" s="5" t="s">
        <v>705</v>
      </c>
      <c r="B637" s="5" t="s">
        <v>330</v>
      </c>
      <c r="C637" s="5" t="s">
        <v>704</v>
      </c>
      <c r="D637" s="5" t="s">
        <v>587</v>
      </c>
      <c r="E637" s="5" t="s">
        <v>607</v>
      </c>
      <c r="F637" s="45" t="n">
        <v>16015.2</v>
      </c>
      <c r="G637" s="24" t="n">
        <v>9401</v>
      </c>
      <c r="H637" s="46" t="n">
        <v>1237286.1</v>
      </c>
      <c r="I637" s="6" t="s">
        <v>594</v>
      </c>
    </row>
    <row r="638" customFormat="false" ht="15" hidden="false" customHeight="false" outlineLevel="0" collapsed="false">
      <c r="A638" s="5" t="s">
        <v>705</v>
      </c>
      <c r="B638" s="5" t="s">
        <v>343</v>
      </c>
      <c r="C638" s="5" t="s">
        <v>704</v>
      </c>
      <c r="D638" s="5" t="s">
        <v>587</v>
      </c>
      <c r="E638" s="5" t="s">
        <v>607</v>
      </c>
      <c r="F638" s="45" t="n">
        <v>11778.6</v>
      </c>
      <c r="G638" s="24" t="n">
        <v>7116</v>
      </c>
      <c r="H638" s="46" t="n">
        <v>524287.43</v>
      </c>
      <c r="I638" s="6" t="s">
        <v>595</v>
      </c>
    </row>
    <row r="639" customFormat="false" ht="15" hidden="false" customHeight="false" outlineLevel="0" collapsed="false">
      <c r="A639" s="5" t="s">
        <v>705</v>
      </c>
      <c r="B639" s="5" t="s">
        <v>356</v>
      </c>
      <c r="C639" s="5" t="s">
        <v>704</v>
      </c>
      <c r="D639" s="5" t="s">
        <v>587</v>
      </c>
      <c r="E639" s="5" t="s">
        <v>607</v>
      </c>
      <c r="F639" s="45" t="n">
        <v>9293.5</v>
      </c>
      <c r="G639" s="24" t="n">
        <v>5240</v>
      </c>
      <c r="H639" s="46" t="n">
        <v>195946.91</v>
      </c>
      <c r="I639" s="6" t="s">
        <v>596</v>
      </c>
    </row>
    <row r="640" customFormat="false" ht="15" hidden="false" customHeight="false" outlineLevel="0" collapsed="false">
      <c r="A640" s="5" t="s">
        <v>705</v>
      </c>
      <c r="B640" s="5" t="s">
        <v>369</v>
      </c>
      <c r="C640" s="5" t="s">
        <v>704</v>
      </c>
      <c r="D640" s="5" t="s">
        <v>587</v>
      </c>
      <c r="E640" s="5" t="s">
        <v>607</v>
      </c>
      <c r="F640" s="45" t="n">
        <v>1784</v>
      </c>
      <c r="G640" s="24" t="n">
        <v>914</v>
      </c>
      <c r="H640" s="46" t="n">
        <v>141133.59</v>
      </c>
      <c r="I640" s="6" t="s">
        <v>597</v>
      </c>
    </row>
    <row r="641" customFormat="false" ht="15" hidden="false" customHeight="false" outlineLevel="0" collapsed="false">
      <c r="A641" s="5" t="s">
        <v>706</v>
      </c>
      <c r="B641" s="5" t="s">
        <v>343</v>
      </c>
      <c r="C641" s="5" t="s">
        <v>704</v>
      </c>
      <c r="D641" s="5" t="s">
        <v>587</v>
      </c>
      <c r="E641" s="5" t="s">
        <v>611</v>
      </c>
      <c r="F641" s="45" t="n">
        <v>485.4</v>
      </c>
      <c r="G641" s="24" t="n">
        <v>213</v>
      </c>
      <c r="H641" s="46" t="n">
        <v>30093.19</v>
      </c>
      <c r="I641" s="6" t="s">
        <v>595</v>
      </c>
    </row>
    <row r="642" customFormat="false" ht="15" hidden="false" customHeight="false" outlineLevel="0" collapsed="false">
      <c r="A642" s="5" t="s">
        <v>706</v>
      </c>
      <c r="B642" s="5" t="s">
        <v>356</v>
      </c>
      <c r="C642" s="5" t="s">
        <v>704</v>
      </c>
      <c r="D642" s="5" t="s">
        <v>587</v>
      </c>
      <c r="E642" s="5" t="s">
        <v>611</v>
      </c>
      <c r="F642" s="45" t="n">
        <v>10120.7</v>
      </c>
      <c r="G642" s="24" t="n">
        <v>2678</v>
      </c>
      <c r="H642" s="46" t="n">
        <v>60343.14</v>
      </c>
      <c r="I642" s="6" t="s">
        <v>596</v>
      </c>
    </row>
    <row r="643" customFormat="false" ht="15" hidden="false" customHeight="false" outlineLevel="0" collapsed="false">
      <c r="A643" s="5" t="s">
        <v>706</v>
      </c>
      <c r="B643" s="5" t="s">
        <v>369</v>
      </c>
      <c r="C643" s="5" t="s">
        <v>704</v>
      </c>
      <c r="D643" s="5" t="s">
        <v>587</v>
      </c>
      <c r="E643" s="5" t="s">
        <v>611</v>
      </c>
      <c r="F643" s="45" t="n">
        <v>970.3</v>
      </c>
      <c r="G643" s="24" t="n">
        <v>536</v>
      </c>
      <c r="H643" s="46" t="n">
        <v>31880.73</v>
      </c>
      <c r="I643" s="6" t="s">
        <v>597</v>
      </c>
    </row>
    <row r="644" customFormat="false" ht="15" hidden="false" customHeight="false" outlineLevel="0" collapsed="false">
      <c r="A644" s="5" t="s">
        <v>562</v>
      </c>
      <c r="B644" s="5" t="s">
        <v>265</v>
      </c>
      <c r="C644" s="5" t="s">
        <v>704</v>
      </c>
      <c r="D644" s="5" t="s">
        <v>587</v>
      </c>
      <c r="E644" s="5" t="s">
        <v>611</v>
      </c>
      <c r="F644" s="45" t="n">
        <v>33343.4</v>
      </c>
      <c r="G644" s="24" t="n">
        <v>24875</v>
      </c>
      <c r="H644" s="46" t="n">
        <v>1413647.18</v>
      </c>
      <c r="I644" s="6" t="s">
        <v>589</v>
      </c>
    </row>
    <row r="645" customFormat="false" ht="15" hidden="false" customHeight="false" outlineLevel="0" collapsed="false">
      <c r="A645" s="5" t="s">
        <v>562</v>
      </c>
      <c r="B645" s="5" t="s">
        <v>278</v>
      </c>
      <c r="C645" s="5" t="s">
        <v>704</v>
      </c>
      <c r="D645" s="5" t="s">
        <v>587</v>
      </c>
      <c r="E645" s="5" t="s">
        <v>611</v>
      </c>
      <c r="F645" s="45" t="n">
        <v>32896</v>
      </c>
      <c r="G645" s="24" t="n">
        <v>25541</v>
      </c>
      <c r="H645" s="46" t="n">
        <v>1142434.33</v>
      </c>
      <c r="I645" s="6" t="s">
        <v>590</v>
      </c>
    </row>
    <row r="646" customFormat="false" ht="15" hidden="false" customHeight="false" outlineLevel="0" collapsed="false">
      <c r="A646" s="5" t="s">
        <v>562</v>
      </c>
      <c r="B646" s="5" t="s">
        <v>291</v>
      </c>
      <c r="C646" s="5" t="s">
        <v>704</v>
      </c>
      <c r="D646" s="5" t="s">
        <v>587</v>
      </c>
      <c r="E646" s="5" t="s">
        <v>611</v>
      </c>
      <c r="F646" s="45" t="n">
        <v>27581.1</v>
      </c>
      <c r="G646" s="24" t="n">
        <v>21143</v>
      </c>
      <c r="H646" s="46" t="n">
        <v>1427088.84</v>
      </c>
      <c r="I646" s="6" t="s">
        <v>591</v>
      </c>
    </row>
    <row r="647" customFormat="false" ht="15" hidden="false" customHeight="false" outlineLevel="0" collapsed="false">
      <c r="A647" s="5" t="s">
        <v>562</v>
      </c>
      <c r="B647" s="5" t="s">
        <v>304</v>
      </c>
      <c r="C647" s="5" t="s">
        <v>704</v>
      </c>
      <c r="D647" s="5" t="s">
        <v>587</v>
      </c>
      <c r="E647" s="5" t="s">
        <v>611</v>
      </c>
      <c r="F647" s="45" t="n">
        <v>36160.8</v>
      </c>
      <c r="G647" s="24" t="n">
        <v>29287</v>
      </c>
      <c r="H647" s="46" t="n">
        <v>1836064.47</v>
      </c>
      <c r="I647" s="6" t="s">
        <v>592</v>
      </c>
    </row>
    <row r="648" customFormat="false" ht="15" hidden="false" customHeight="false" outlineLevel="0" collapsed="false">
      <c r="A648" s="5" t="s">
        <v>562</v>
      </c>
      <c r="B648" s="5" t="s">
        <v>317</v>
      </c>
      <c r="C648" s="5" t="s">
        <v>704</v>
      </c>
      <c r="D648" s="5" t="s">
        <v>587</v>
      </c>
      <c r="E648" s="5" t="s">
        <v>611</v>
      </c>
      <c r="F648" s="45" t="n">
        <v>38104.2</v>
      </c>
      <c r="G648" s="24" t="n">
        <v>30310</v>
      </c>
      <c r="H648" s="46" t="n">
        <v>1300277.75</v>
      </c>
      <c r="I648" s="6" t="s">
        <v>593</v>
      </c>
    </row>
    <row r="649" customFormat="false" ht="15" hidden="false" customHeight="false" outlineLevel="0" collapsed="false">
      <c r="A649" s="5" t="s">
        <v>562</v>
      </c>
      <c r="B649" s="5" t="s">
        <v>330</v>
      </c>
      <c r="C649" s="5" t="s">
        <v>704</v>
      </c>
      <c r="D649" s="5" t="s">
        <v>587</v>
      </c>
      <c r="E649" s="5" t="s">
        <v>611</v>
      </c>
      <c r="F649" s="45" t="n">
        <v>38303.4</v>
      </c>
      <c r="G649" s="24" t="n">
        <v>34861</v>
      </c>
      <c r="H649" s="46" t="n">
        <v>3947359.03</v>
      </c>
      <c r="I649" s="6" t="s">
        <v>594</v>
      </c>
    </row>
    <row r="650" customFormat="false" ht="15" hidden="false" customHeight="false" outlineLevel="0" collapsed="false">
      <c r="A650" s="5" t="s">
        <v>562</v>
      </c>
      <c r="B650" s="5" t="s">
        <v>343</v>
      </c>
      <c r="C650" s="5" t="s">
        <v>704</v>
      </c>
      <c r="D650" s="5" t="s">
        <v>587</v>
      </c>
      <c r="E650" s="5" t="s">
        <v>611</v>
      </c>
      <c r="F650" s="45" t="n">
        <v>30489.5</v>
      </c>
      <c r="G650" s="24" t="n">
        <v>25273</v>
      </c>
      <c r="H650" s="46" t="n">
        <v>2920301.61</v>
      </c>
      <c r="I650" s="6" t="s">
        <v>595</v>
      </c>
    </row>
    <row r="651" customFormat="false" ht="15" hidden="false" customHeight="false" outlineLevel="0" collapsed="false">
      <c r="A651" s="5" t="s">
        <v>562</v>
      </c>
      <c r="B651" s="5" t="s">
        <v>356</v>
      </c>
      <c r="C651" s="5" t="s">
        <v>704</v>
      </c>
      <c r="D651" s="5" t="s">
        <v>587</v>
      </c>
      <c r="E651" s="5" t="s">
        <v>611</v>
      </c>
      <c r="F651" s="45" t="n">
        <v>22464.4</v>
      </c>
      <c r="G651" s="24" t="n">
        <v>19603</v>
      </c>
      <c r="H651" s="46" t="n">
        <v>506496.75</v>
      </c>
      <c r="I651" s="6" t="s">
        <v>596</v>
      </c>
    </row>
    <row r="652" customFormat="false" ht="15" hidden="false" customHeight="false" outlineLevel="0" collapsed="false">
      <c r="A652" s="5" t="s">
        <v>562</v>
      </c>
      <c r="B652" s="5" t="s">
        <v>369</v>
      </c>
      <c r="C652" s="5" t="s">
        <v>704</v>
      </c>
      <c r="D652" s="5" t="s">
        <v>587</v>
      </c>
      <c r="E652" s="5" t="s">
        <v>611</v>
      </c>
      <c r="F652" s="45" t="n">
        <v>2197.9</v>
      </c>
      <c r="G652" s="24" t="n">
        <v>2259</v>
      </c>
      <c r="H652" s="46" t="n">
        <v>52610.49</v>
      </c>
      <c r="I652" s="6" t="s">
        <v>597</v>
      </c>
    </row>
    <row r="653" customFormat="false" ht="15" hidden="false" customHeight="false" outlineLevel="0" collapsed="false">
      <c r="A653" s="5" t="s">
        <v>707</v>
      </c>
      <c r="B653" s="5" t="s">
        <v>265</v>
      </c>
      <c r="C653" s="5" t="s">
        <v>704</v>
      </c>
      <c r="D653" s="5" t="s">
        <v>587</v>
      </c>
      <c r="E653" s="5" t="s">
        <v>600</v>
      </c>
      <c r="F653" s="45" t="n">
        <v>5896.3</v>
      </c>
      <c r="G653" s="24" t="n">
        <v>4477</v>
      </c>
      <c r="H653" s="46" t="n">
        <v>845445.87</v>
      </c>
      <c r="I653" s="6" t="s">
        <v>589</v>
      </c>
    </row>
    <row r="654" customFormat="false" ht="15" hidden="false" customHeight="false" outlineLevel="0" collapsed="false">
      <c r="A654" s="5" t="s">
        <v>707</v>
      </c>
      <c r="B654" s="5" t="s">
        <v>278</v>
      </c>
      <c r="C654" s="5" t="s">
        <v>704</v>
      </c>
      <c r="D654" s="5" t="s">
        <v>587</v>
      </c>
      <c r="E654" s="5" t="s">
        <v>600</v>
      </c>
      <c r="F654" s="45" t="n">
        <v>8065.9</v>
      </c>
      <c r="G654" s="24" t="n">
        <v>5197</v>
      </c>
      <c r="H654" s="46" t="n">
        <v>644007.17</v>
      </c>
      <c r="I654" s="6" t="s">
        <v>590</v>
      </c>
    </row>
    <row r="655" customFormat="false" ht="15" hidden="false" customHeight="false" outlineLevel="0" collapsed="false">
      <c r="A655" s="5" t="s">
        <v>707</v>
      </c>
      <c r="B655" s="5" t="s">
        <v>291</v>
      </c>
      <c r="C655" s="5" t="s">
        <v>704</v>
      </c>
      <c r="D655" s="5" t="s">
        <v>587</v>
      </c>
      <c r="E655" s="5" t="s">
        <v>600</v>
      </c>
      <c r="F655" s="45" t="n">
        <v>6355.7</v>
      </c>
      <c r="G655" s="24" t="n">
        <v>4516</v>
      </c>
      <c r="H655" s="46" t="n">
        <v>430441.34</v>
      </c>
      <c r="I655" s="6" t="s">
        <v>591</v>
      </c>
    </row>
    <row r="656" customFormat="false" ht="15" hidden="false" customHeight="false" outlineLevel="0" collapsed="false">
      <c r="A656" s="5" t="s">
        <v>707</v>
      </c>
      <c r="B656" s="5" t="s">
        <v>304</v>
      </c>
      <c r="C656" s="5" t="s">
        <v>704</v>
      </c>
      <c r="D656" s="5" t="s">
        <v>587</v>
      </c>
      <c r="E656" s="5" t="s">
        <v>600</v>
      </c>
      <c r="F656" s="45" t="n">
        <v>5248.8</v>
      </c>
      <c r="G656" s="24" t="n">
        <v>5056</v>
      </c>
      <c r="H656" s="46" t="n">
        <v>359769.43</v>
      </c>
      <c r="I656" s="6" t="s">
        <v>592</v>
      </c>
    </row>
    <row r="657" customFormat="false" ht="15" hidden="false" customHeight="false" outlineLevel="0" collapsed="false">
      <c r="A657" s="5" t="s">
        <v>707</v>
      </c>
      <c r="B657" s="5" t="s">
        <v>317</v>
      </c>
      <c r="C657" s="5" t="s">
        <v>704</v>
      </c>
      <c r="D657" s="5" t="s">
        <v>587</v>
      </c>
      <c r="E657" s="5" t="s">
        <v>600</v>
      </c>
      <c r="F657" s="45" t="n">
        <v>5412.4</v>
      </c>
      <c r="G657" s="24" t="n">
        <v>5243</v>
      </c>
      <c r="H657" s="46" t="n">
        <v>311679.12</v>
      </c>
      <c r="I657" s="6" t="s">
        <v>593</v>
      </c>
    </row>
    <row r="658" customFormat="false" ht="15" hidden="false" customHeight="false" outlineLevel="0" collapsed="false">
      <c r="A658" s="5" t="s">
        <v>707</v>
      </c>
      <c r="B658" s="5" t="s">
        <v>330</v>
      </c>
      <c r="C658" s="5" t="s">
        <v>704</v>
      </c>
      <c r="D658" s="5" t="s">
        <v>587</v>
      </c>
      <c r="E658" s="5" t="s">
        <v>600</v>
      </c>
      <c r="F658" s="45" t="n">
        <v>3634.4</v>
      </c>
      <c r="G658" s="24" t="n">
        <v>4335</v>
      </c>
      <c r="H658" s="46" t="n">
        <v>1027805.84</v>
      </c>
      <c r="I658" s="6" t="s">
        <v>594</v>
      </c>
    </row>
    <row r="659" customFormat="false" ht="15" hidden="false" customHeight="false" outlineLevel="0" collapsed="false">
      <c r="A659" s="5" t="s">
        <v>707</v>
      </c>
      <c r="B659" s="5" t="s">
        <v>343</v>
      </c>
      <c r="C659" s="5" t="s">
        <v>704</v>
      </c>
      <c r="D659" s="5" t="s">
        <v>587</v>
      </c>
      <c r="E659" s="5" t="s">
        <v>600</v>
      </c>
      <c r="F659" s="45" t="n">
        <v>11755.7</v>
      </c>
      <c r="G659" s="24" t="n">
        <v>3883</v>
      </c>
      <c r="H659" s="46" t="n">
        <v>365675.4</v>
      </c>
      <c r="I659" s="6" t="s">
        <v>595</v>
      </c>
    </row>
    <row r="660" customFormat="false" ht="15" hidden="false" customHeight="false" outlineLevel="0" collapsed="false">
      <c r="A660" s="5" t="s">
        <v>707</v>
      </c>
      <c r="B660" s="5" t="s">
        <v>356</v>
      </c>
      <c r="C660" s="5" t="s">
        <v>704</v>
      </c>
      <c r="D660" s="5" t="s">
        <v>587</v>
      </c>
      <c r="E660" s="5" t="s">
        <v>600</v>
      </c>
      <c r="F660" s="45" t="n">
        <v>10822.3</v>
      </c>
      <c r="G660" s="24" t="n">
        <v>3503</v>
      </c>
      <c r="H660" s="46" t="n">
        <v>421824.37</v>
      </c>
      <c r="I660" s="6" t="s">
        <v>596</v>
      </c>
    </row>
    <row r="661" customFormat="false" ht="15" hidden="false" customHeight="false" outlineLevel="0" collapsed="false">
      <c r="A661" s="5" t="s">
        <v>707</v>
      </c>
      <c r="B661" s="5" t="s">
        <v>369</v>
      </c>
      <c r="C661" s="5" t="s">
        <v>704</v>
      </c>
      <c r="D661" s="5" t="s">
        <v>587</v>
      </c>
      <c r="E661" s="5" t="s">
        <v>600</v>
      </c>
      <c r="F661" s="45" t="n">
        <v>2164.2</v>
      </c>
      <c r="G661" s="24" t="n">
        <v>475</v>
      </c>
      <c r="H661" s="46" t="n">
        <v>59211.76</v>
      </c>
      <c r="I661" s="6" t="s">
        <v>597</v>
      </c>
    </row>
    <row r="662" customFormat="false" ht="15" hidden="false" customHeight="false" outlineLevel="0" collapsed="false">
      <c r="A662" s="5" t="s">
        <v>545</v>
      </c>
      <c r="B662" s="5" t="s">
        <v>343</v>
      </c>
      <c r="C662" s="5" t="s">
        <v>708</v>
      </c>
      <c r="D662" s="5" t="s">
        <v>599</v>
      </c>
      <c r="E662" s="5" t="s">
        <v>601</v>
      </c>
      <c r="F662" s="45" t="n">
        <v>261</v>
      </c>
      <c r="G662" s="24" t="n">
        <v>131</v>
      </c>
      <c r="H662" s="46" t="n">
        <v>4205.02</v>
      </c>
      <c r="I662" s="6" t="s">
        <v>595</v>
      </c>
    </row>
    <row r="663" customFormat="false" ht="15" hidden="false" customHeight="false" outlineLevel="0" collapsed="false">
      <c r="A663" s="5" t="s">
        <v>545</v>
      </c>
      <c r="B663" s="5" t="s">
        <v>356</v>
      </c>
      <c r="C663" s="5" t="s">
        <v>708</v>
      </c>
      <c r="D663" s="5" t="s">
        <v>599</v>
      </c>
      <c r="E663" s="5" t="s">
        <v>601</v>
      </c>
      <c r="F663" s="45" t="n">
        <v>4917.6</v>
      </c>
      <c r="G663" s="24" t="n">
        <v>2010</v>
      </c>
      <c r="H663" s="46" t="n">
        <v>73102.2</v>
      </c>
      <c r="I663" s="6" t="s">
        <v>596</v>
      </c>
    </row>
    <row r="664" customFormat="false" ht="15" hidden="false" customHeight="false" outlineLevel="0" collapsed="false">
      <c r="A664" s="5" t="s">
        <v>545</v>
      </c>
      <c r="B664" s="5" t="s">
        <v>369</v>
      </c>
      <c r="C664" s="5" t="s">
        <v>708</v>
      </c>
      <c r="D664" s="5" t="s">
        <v>599</v>
      </c>
      <c r="E664" s="5" t="s">
        <v>601</v>
      </c>
      <c r="F664" s="45" t="n">
        <v>1123</v>
      </c>
      <c r="G664" s="24" t="n">
        <v>533</v>
      </c>
      <c r="H664" s="46" t="n">
        <v>18074.47</v>
      </c>
      <c r="I664" s="6" t="s">
        <v>597</v>
      </c>
    </row>
    <row r="665" customFormat="false" ht="15" hidden="false" customHeight="false" outlineLevel="0" collapsed="false">
      <c r="A665" s="5" t="s">
        <v>709</v>
      </c>
      <c r="B665" s="5" t="s">
        <v>265</v>
      </c>
      <c r="C665" s="5" t="s">
        <v>700</v>
      </c>
      <c r="D665" s="5" t="s">
        <v>587</v>
      </c>
      <c r="E665" s="5" t="s">
        <v>607</v>
      </c>
      <c r="F665" s="45" t="n">
        <v>242.4</v>
      </c>
      <c r="G665" s="24" t="n">
        <v>130</v>
      </c>
      <c r="H665" s="46" t="n">
        <v>1436.06</v>
      </c>
      <c r="I665" s="6" t="s">
        <v>589</v>
      </c>
    </row>
    <row r="666" customFormat="false" ht="15" hidden="false" customHeight="false" outlineLevel="0" collapsed="false">
      <c r="A666" s="5" t="s">
        <v>709</v>
      </c>
      <c r="B666" s="5" t="s">
        <v>278</v>
      </c>
      <c r="C666" s="5" t="s">
        <v>700</v>
      </c>
      <c r="D666" s="5" t="s">
        <v>587</v>
      </c>
      <c r="E666" s="5" t="s">
        <v>607</v>
      </c>
      <c r="F666" s="45" t="n">
        <v>27.1</v>
      </c>
      <c r="G666" s="24" t="n">
        <v>23</v>
      </c>
      <c r="H666" s="46" t="n">
        <v>133.28</v>
      </c>
      <c r="I666" s="6" t="s">
        <v>590</v>
      </c>
    </row>
    <row r="667" customFormat="false" ht="15" hidden="false" customHeight="false" outlineLevel="0" collapsed="false">
      <c r="A667" s="5" t="s">
        <v>709</v>
      </c>
      <c r="B667" s="5" t="s">
        <v>317</v>
      </c>
      <c r="C667" s="5" t="s">
        <v>700</v>
      </c>
      <c r="D667" s="5" t="s">
        <v>587</v>
      </c>
      <c r="E667" s="5" t="s">
        <v>607</v>
      </c>
      <c r="F667" s="45" t="n">
        <v>47</v>
      </c>
      <c r="G667" s="24" t="n">
        <v>37</v>
      </c>
      <c r="H667" s="46" t="n">
        <v>3186.45</v>
      </c>
      <c r="I667" s="6" t="s">
        <v>593</v>
      </c>
    </row>
    <row r="668" customFormat="false" ht="15" hidden="false" customHeight="false" outlineLevel="0" collapsed="false">
      <c r="A668" s="5" t="s">
        <v>709</v>
      </c>
      <c r="B668" s="5" t="s">
        <v>330</v>
      </c>
      <c r="C668" s="5" t="s">
        <v>700</v>
      </c>
      <c r="D668" s="5" t="s">
        <v>587</v>
      </c>
      <c r="E668" s="5" t="s">
        <v>607</v>
      </c>
      <c r="F668" s="45" t="n">
        <v>511.8</v>
      </c>
      <c r="G668" s="24" t="n">
        <v>396</v>
      </c>
      <c r="H668" s="46" t="n">
        <v>56426.54</v>
      </c>
      <c r="I668" s="6" t="s">
        <v>594</v>
      </c>
    </row>
    <row r="669" customFormat="false" ht="15" hidden="false" customHeight="false" outlineLevel="0" collapsed="false">
      <c r="A669" s="5" t="s">
        <v>710</v>
      </c>
      <c r="B669" s="5" t="s">
        <v>265</v>
      </c>
      <c r="C669" s="5" t="s">
        <v>700</v>
      </c>
      <c r="D669" s="5" t="s">
        <v>587</v>
      </c>
      <c r="E669" s="5" t="s">
        <v>607</v>
      </c>
      <c r="F669" s="45" t="n">
        <v>802.3</v>
      </c>
      <c r="G669" s="24" t="n">
        <v>204</v>
      </c>
      <c r="H669" s="46" t="n">
        <v>3357.19</v>
      </c>
      <c r="I669" s="6" t="s">
        <v>589</v>
      </c>
    </row>
    <row r="670" customFormat="false" ht="15" hidden="false" customHeight="false" outlineLevel="0" collapsed="false">
      <c r="A670" s="5" t="s">
        <v>710</v>
      </c>
      <c r="B670" s="5" t="s">
        <v>278</v>
      </c>
      <c r="C670" s="5" t="s">
        <v>700</v>
      </c>
      <c r="D670" s="5" t="s">
        <v>587</v>
      </c>
      <c r="E670" s="5" t="s">
        <v>607</v>
      </c>
      <c r="F670" s="45" t="n">
        <v>386</v>
      </c>
      <c r="G670" s="24" t="n">
        <v>217</v>
      </c>
      <c r="H670" s="46" t="n">
        <v>1338.61</v>
      </c>
      <c r="I670" s="6" t="s">
        <v>590</v>
      </c>
    </row>
    <row r="671" customFormat="false" ht="15" hidden="false" customHeight="false" outlineLevel="0" collapsed="false">
      <c r="A671" s="5" t="s">
        <v>710</v>
      </c>
      <c r="B671" s="5" t="s">
        <v>291</v>
      </c>
      <c r="C671" s="5" t="s">
        <v>700</v>
      </c>
      <c r="D671" s="5" t="s">
        <v>587</v>
      </c>
      <c r="E671" s="5" t="s">
        <v>607</v>
      </c>
      <c r="F671" s="45" t="n">
        <v>746</v>
      </c>
      <c r="G671" s="24" t="n">
        <v>131</v>
      </c>
      <c r="H671" s="46" t="n">
        <v>632.6</v>
      </c>
      <c r="I671" s="6" t="s">
        <v>591</v>
      </c>
    </row>
    <row r="672" customFormat="false" ht="15" hidden="false" customHeight="false" outlineLevel="0" collapsed="false">
      <c r="A672" s="5" t="s">
        <v>710</v>
      </c>
      <c r="B672" s="5" t="s">
        <v>304</v>
      </c>
      <c r="C672" s="5" t="s">
        <v>700</v>
      </c>
      <c r="D672" s="5" t="s">
        <v>587</v>
      </c>
      <c r="E672" s="5" t="s">
        <v>607</v>
      </c>
      <c r="F672" s="45" t="n">
        <v>158.5</v>
      </c>
      <c r="G672" s="24" t="n">
        <v>129</v>
      </c>
      <c r="H672" s="46" t="n">
        <v>596.54</v>
      </c>
      <c r="I672" s="6" t="s">
        <v>592</v>
      </c>
    </row>
    <row r="673" customFormat="false" ht="15" hidden="false" customHeight="false" outlineLevel="0" collapsed="false">
      <c r="A673" s="5" t="s">
        <v>710</v>
      </c>
      <c r="B673" s="5" t="s">
        <v>317</v>
      </c>
      <c r="C673" s="5" t="s">
        <v>700</v>
      </c>
      <c r="D673" s="5" t="s">
        <v>587</v>
      </c>
      <c r="E673" s="5" t="s">
        <v>607</v>
      </c>
      <c r="F673" s="45" t="n">
        <v>334.2</v>
      </c>
      <c r="G673" s="24" t="n">
        <v>225</v>
      </c>
      <c r="H673" s="46" t="n">
        <v>1303.12</v>
      </c>
      <c r="I673" s="6" t="s">
        <v>593</v>
      </c>
    </row>
    <row r="674" customFormat="false" ht="15" hidden="false" customHeight="false" outlineLevel="0" collapsed="false">
      <c r="A674" s="5" t="s">
        <v>710</v>
      </c>
      <c r="B674" s="5" t="s">
        <v>330</v>
      </c>
      <c r="C674" s="5" t="s">
        <v>700</v>
      </c>
      <c r="D674" s="5" t="s">
        <v>587</v>
      </c>
      <c r="E674" s="5" t="s">
        <v>607</v>
      </c>
      <c r="F674" s="45" t="n">
        <v>893.9</v>
      </c>
      <c r="G674" s="24" t="n">
        <v>448</v>
      </c>
      <c r="H674" s="46" t="n">
        <v>4573.64</v>
      </c>
      <c r="I674" s="6" t="s">
        <v>594</v>
      </c>
    </row>
    <row r="675" customFormat="false" ht="15" hidden="false" customHeight="false" outlineLevel="0" collapsed="false">
      <c r="A675" s="5" t="s">
        <v>710</v>
      </c>
      <c r="B675" s="5" t="s">
        <v>343</v>
      </c>
      <c r="C675" s="5" t="s">
        <v>700</v>
      </c>
      <c r="D675" s="5" t="s">
        <v>587</v>
      </c>
      <c r="E675" s="5" t="s">
        <v>607</v>
      </c>
      <c r="F675" s="45" t="n">
        <v>219.9</v>
      </c>
      <c r="G675" s="24" t="n">
        <v>123</v>
      </c>
      <c r="H675" s="46" t="n">
        <v>873.01</v>
      </c>
      <c r="I675" s="6" t="s">
        <v>595</v>
      </c>
    </row>
    <row r="676" customFormat="false" ht="15" hidden="false" customHeight="false" outlineLevel="0" collapsed="false">
      <c r="A676" s="5" t="s">
        <v>710</v>
      </c>
      <c r="B676" s="5" t="s">
        <v>369</v>
      </c>
      <c r="C676" s="5" t="s">
        <v>700</v>
      </c>
      <c r="D676" s="5" t="s">
        <v>587</v>
      </c>
      <c r="E676" s="5" t="s">
        <v>607</v>
      </c>
      <c r="F676" s="45" t="n">
        <v>12.5</v>
      </c>
      <c r="G676" s="24" t="n">
        <v>13</v>
      </c>
      <c r="H676" s="46" t="n">
        <v>746.64</v>
      </c>
      <c r="I676" s="6" t="s">
        <v>597</v>
      </c>
    </row>
    <row r="677" customFormat="false" ht="15" hidden="false" customHeight="false" outlineLevel="0" collapsed="false">
      <c r="A677" s="5" t="s">
        <v>711</v>
      </c>
      <c r="B677" s="5" t="s">
        <v>265</v>
      </c>
      <c r="C677" s="5" t="s">
        <v>700</v>
      </c>
      <c r="D677" s="5" t="s">
        <v>587</v>
      </c>
      <c r="E677" s="5" t="s">
        <v>611</v>
      </c>
      <c r="F677" s="45" t="n">
        <v>556.4</v>
      </c>
      <c r="G677" s="24" t="n">
        <v>365</v>
      </c>
      <c r="H677" s="46" t="n">
        <v>11254.95</v>
      </c>
      <c r="I677" s="6" t="s">
        <v>589</v>
      </c>
    </row>
    <row r="678" customFormat="false" ht="15" hidden="false" customHeight="false" outlineLevel="0" collapsed="false">
      <c r="A678" s="5" t="s">
        <v>711</v>
      </c>
      <c r="B678" s="5" t="s">
        <v>278</v>
      </c>
      <c r="C678" s="5" t="s">
        <v>700</v>
      </c>
      <c r="D678" s="5" t="s">
        <v>587</v>
      </c>
      <c r="E678" s="5" t="s">
        <v>611</v>
      </c>
      <c r="F678" s="45" t="n">
        <v>393.3</v>
      </c>
      <c r="G678" s="24" t="n">
        <v>278</v>
      </c>
      <c r="H678" s="46" t="n">
        <v>3751.51</v>
      </c>
      <c r="I678" s="6" t="s">
        <v>590</v>
      </c>
    </row>
    <row r="679" customFormat="false" ht="15" hidden="false" customHeight="false" outlineLevel="0" collapsed="false">
      <c r="A679" s="5" t="s">
        <v>711</v>
      </c>
      <c r="B679" s="5" t="s">
        <v>291</v>
      </c>
      <c r="C679" s="5" t="s">
        <v>700</v>
      </c>
      <c r="D679" s="5" t="s">
        <v>587</v>
      </c>
      <c r="E679" s="5" t="s">
        <v>611</v>
      </c>
      <c r="F679" s="45" t="n">
        <v>127</v>
      </c>
      <c r="G679" s="24" t="n">
        <v>112</v>
      </c>
      <c r="H679" s="46" t="n">
        <v>1154.3</v>
      </c>
      <c r="I679" s="6" t="s">
        <v>591</v>
      </c>
    </row>
    <row r="680" customFormat="false" ht="15" hidden="false" customHeight="false" outlineLevel="0" collapsed="false">
      <c r="A680" s="5" t="s">
        <v>711</v>
      </c>
      <c r="B680" s="5" t="s">
        <v>304</v>
      </c>
      <c r="C680" s="5" t="s">
        <v>700</v>
      </c>
      <c r="D680" s="5" t="s">
        <v>587</v>
      </c>
      <c r="E680" s="5" t="s">
        <v>611</v>
      </c>
      <c r="F680" s="45" t="n">
        <v>98</v>
      </c>
      <c r="G680" s="24" t="n">
        <v>85</v>
      </c>
      <c r="H680" s="46" t="n">
        <v>504.83</v>
      </c>
      <c r="I680" s="6" t="s">
        <v>592</v>
      </c>
    </row>
    <row r="681" customFormat="false" ht="15" hidden="false" customHeight="false" outlineLevel="0" collapsed="false">
      <c r="A681" s="5" t="s">
        <v>711</v>
      </c>
      <c r="B681" s="5" t="s">
        <v>317</v>
      </c>
      <c r="C681" s="5" t="s">
        <v>700</v>
      </c>
      <c r="D681" s="5" t="s">
        <v>587</v>
      </c>
      <c r="E681" s="5" t="s">
        <v>611</v>
      </c>
      <c r="F681" s="45" t="n">
        <v>131</v>
      </c>
      <c r="G681" s="24" t="n">
        <v>96</v>
      </c>
      <c r="H681" s="46" t="n">
        <v>1885.71</v>
      </c>
      <c r="I681" s="6" t="s">
        <v>593</v>
      </c>
    </row>
    <row r="682" customFormat="false" ht="15" hidden="false" customHeight="false" outlineLevel="0" collapsed="false">
      <c r="A682" s="5" t="s">
        <v>711</v>
      </c>
      <c r="B682" s="5" t="s">
        <v>330</v>
      </c>
      <c r="C682" s="5" t="s">
        <v>700</v>
      </c>
      <c r="D682" s="5" t="s">
        <v>587</v>
      </c>
      <c r="E682" s="5" t="s">
        <v>611</v>
      </c>
      <c r="F682" s="45" t="n">
        <v>397.9</v>
      </c>
      <c r="G682" s="24" t="n">
        <v>325</v>
      </c>
      <c r="H682" s="46" t="n">
        <v>37722.92</v>
      </c>
      <c r="I682" s="6" t="s">
        <v>594</v>
      </c>
    </row>
    <row r="683" customFormat="false" ht="15" hidden="false" customHeight="false" outlineLevel="0" collapsed="false">
      <c r="A683" s="5" t="s">
        <v>711</v>
      </c>
      <c r="B683" s="5" t="s">
        <v>343</v>
      </c>
      <c r="C683" s="5" t="s">
        <v>700</v>
      </c>
      <c r="D683" s="5" t="s">
        <v>587</v>
      </c>
      <c r="E683" s="5" t="s">
        <v>611</v>
      </c>
      <c r="F683" s="45" t="n">
        <v>226</v>
      </c>
      <c r="G683" s="24" t="n">
        <v>93</v>
      </c>
      <c r="H683" s="46" t="n">
        <v>43293.7</v>
      </c>
      <c r="I683" s="6" t="s">
        <v>595</v>
      </c>
    </row>
    <row r="684" customFormat="false" ht="15" hidden="false" customHeight="false" outlineLevel="0" collapsed="false">
      <c r="A684" s="5" t="s">
        <v>712</v>
      </c>
      <c r="B684" s="5" t="s">
        <v>265</v>
      </c>
      <c r="C684" s="5" t="s">
        <v>700</v>
      </c>
      <c r="D684" s="5" t="s">
        <v>587</v>
      </c>
      <c r="E684" s="5" t="s">
        <v>611</v>
      </c>
      <c r="F684" s="45" t="n">
        <v>616.5</v>
      </c>
      <c r="G684" s="24" t="n">
        <v>353</v>
      </c>
      <c r="H684" s="46" t="n">
        <v>7351.48</v>
      </c>
      <c r="I684" s="6" t="s">
        <v>589</v>
      </c>
    </row>
    <row r="685" customFormat="false" ht="15" hidden="false" customHeight="false" outlineLevel="0" collapsed="false">
      <c r="A685" s="5" t="s">
        <v>712</v>
      </c>
      <c r="B685" s="5" t="s">
        <v>278</v>
      </c>
      <c r="C685" s="5" t="s">
        <v>700</v>
      </c>
      <c r="D685" s="5" t="s">
        <v>587</v>
      </c>
      <c r="E685" s="5" t="s">
        <v>611</v>
      </c>
      <c r="F685" s="45" t="n">
        <v>636</v>
      </c>
      <c r="G685" s="24" t="n">
        <v>474</v>
      </c>
      <c r="H685" s="46" t="n">
        <v>4603.89</v>
      </c>
      <c r="I685" s="6" t="s">
        <v>590</v>
      </c>
    </row>
    <row r="686" customFormat="false" ht="15" hidden="false" customHeight="false" outlineLevel="0" collapsed="false">
      <c r="A686" s="5" t="s">
        <v>712</v>
      </c>
      <c r="B686" s="5" t="s">
        <v>291</v>
      </c>
      <c r="C686" s="5" t="s">
        <v>700</v>
      </c>
      <c r="D686" s="5" t="s">
        <v>587</v>
      </c>
      <c r="E686" s="5" t="s">
        <v>611</v>
      </c>
      <c r="F686" s="45" t="n">
        <v>1157.6</v>
      </c>
      <c r="G686" s="24" t="n">
        <v>530</v>
      </c>
      <c r="H686" s="46" t="n">
        <v>3528.34</v>
      </c>
      <c r="I686" s="6" t="s">
        <v>591</v>
      </c>
    </row>
    <row r="687" customFormat="false" ht="15" hidden="false" customHeight="false" outlineLevel="0" collapsed="false">
      <c r="A687" s="5" t="s">
        <v>712</v>
      </c>
      <c r="B687" s="5" t="s">
        <v>304</v>
      </c>
      <c r="C687" s="5" t="s">
        <v>700</v>
      </c>
      <c r="D687" s="5" t="s">
        <v>587</v>
      </c>
      <c r="E687" s="5" t="s">
        <v>611</v>
      </c>
      <c r="F687" s="45" t="n">
        <v>865</v>
      </c>
      <c r="G687" s="24" t="n">
        <v>501</v>
      </c>
      <c r="H687" s="46" t="n">
        <v>3937.83</v>
      </c>
      <c r="I687" s="6" t="s">
        <v>592</v>
      </c>
    </row>
    <row r="688" customFormat="false" ht="15" hidden="false" customHeight="false" outlineLevel="0" collapsed="false">
      <c r="A688" s="5" t="s">
        <v>712</v>
      </c>
      <c r="B688" s="5" t="s">
        <v>317</v>
      </c>
      <c r="C688" s="5" t="s">
        <v>700</v>
      </c>
      <c r="D688" s="5" t="s">
        <v>587</v>
      </c>
      <c r="E688" s="5" t="s">
        <v>611</v>
      </c>
      <c r="F688" s="45" t="n">
        <v>695</v>
      </c>
      <c r="G688" s="24" t="n">
        <v>540</v>
      </c>
      <c r="H688" s="46" t="n">
        <v>20960.79</v>
      </c>
      <c r="I688" s="6" t="s">
        <v>593</v>
      </c>
    </row>
    <row r="689" customFormat="false" ht="15" hidden="false" customHeight="false" outlineLevel="0" collapsed="false">
      <c r="A689" s="5" t="s">
        <v>712</v>
      </c>
      <c r="B689" s="5" t="s">
        <v>330</v>
      </c>
      <c r="C689" s="5" t="s">
        <v>700</v>
      </c>
      <c r="D689" s="5" t="s">
        <v>587</v>
      </c>
      <c r="E689" s="5" t="s">
        <v>611</v>
      </c>
      <c r="F689" s="45" t="n">
        <v>987.6</v>
      </c>
      <c r="G689" s="24" t="n">
        <v>717</v>
      </c>
      <c r="H689" s="46" t="n">
        <v>58961.19</v>
      </c>
      <c r="I689" s="6" t="s">
        <v>594</v>
      </c>
    </row>
    <row r="690" customFormat="false" ht="15" hidden="false" customHeight="false" outlineLevel="0" collapsed="false">
      <c r="A690" s="5" t="s">
        <v>712</v>
      </c>
      <c r="B690" s="5" t="s">
        <v>343</v>
      </c>
      <c r="C690" s="5" t="s">
        <v>700</v>
      </c>
      <c r="D690" s="5" t="s">
        <v>587</v>
      </c>
      <c r="E690" s="5" t="s">
        <v>611</v>
      </c>
      <c r="F690" s="45" t="n">
        <v>977.5</v>
      </c>
      <c r="G690" s="24" t="n">
        <v>173</v>
      </c>
      <c r="H690" s="46" t="n">
        <v>2543.23</v>
      </c>
      <c r="I690" s="6" t="s">
        <v>595</v>
      </c>
    </row>
    <row r="691" customFormat="false" ht="15" hidden="false" customHeight="false" outlineLevel="0" collapsed="false">
      <c r="A691" s="5" t="s">
        <v>712</v>
      </c>
      <c r="B691" s="5" t="s">
        <v>356</v>
      </c>
      <c r="C691" s="5" t="s">
        <v>700</v>
      </c>
      <c r="D691" s="5" t="s">
        <v>587</v>
      </c>
      <c r="E691" s="5" t="s">
        <v>611</v>
      </c>
      <c r="F691" s="45" t="n">
        <v>162.5</v>
      </c>
      <c r="G691" s="24" t="n">
        <v>26</v>
      </c>
      <c r="H691" s="46" t="n">
        <v>485.13</v>
      </c>
      <c r="I691" s="6" t="s">
        <v>596</v>
      </c>
    </row>
    <row r="692" customFormat="false" ht="15" hidden="false" customHeight="false" outlineLevel="0" collapsed="false">
      <c r="A692" s="5" t="s">
        <v>558</v>
      </c>
      <c r="B692" s="5" t="s">
        <v>317</v>
      </c>
      <c r="C692" s="5" t="s">
        <v>700</v>
      </c>
      <c r="D692" s="5" t="s">
        <v>620</v>
      </c>
      <c r="E692" s="5" t="s">
        <v>643</v>
      </c>
      <c r="F692" s="45" t="n">
        <v>4602.4</v>
      </c>
      <c r="G692" s="24" t="n">
        <v>4258</v>
      </c>
      <c r="H692" s="46" t="n">
        <v>81430.26</v>
      </c>
      <c r="I692" s="6" t="s">
        <v>593</v>
      </c>
    </row>
    <row r="693" customFormat="false" ht="15" hidden="false" customHeight="false" outlineLevel="0" collapsed="false">
      <c r="A693" s="5" t="s">
        <v>558</v>
      </c>
      <c r="B693" s="5" t="s">
        <v>330</v>
      </c>
      <c r="C693" s="5" t="s">
        <v>700</v>
      </c>
      <c r="D693" s="5" t="s">
        <v>620</v>
      </c>
      <c r="E693" s="5" t="s">
        <v>643</v>
      </c>
      <c r="F693" s="45" t="n">
        <v>7702.1</v>
      </c>
      <c r="G693" s="24" t="n">
        <v>6776</v>
      </c>
      <c r="H693" s="46" t="n">
        <v>122928.78</v>
      </c>
      <c r="I693" s="6" t="s">
        <v>594</v>
      </c>
    </row>
    <row r="694" customFormat="false" ht="15" hidden="false" customHeight="false" outlineLevel="0" collapsed="false">
      <c r="A694" s="5" t="s">
        <v>558</v>
      </c>
      <c r="B694" s="5" t="s">
        <v>343</v>
      </c>
      <c r="C694" s="5" t="s">
        <v>700</v>
      </c>
      <c r="D694" s="5" t="s">
        <v>620</v>
      </c>
      <c r="E694" s="5" t="s">
        <v>643</v>
      </c>
      <c r="F694" s="45" t="n">
        <v>9053.8</v>
      </c>
      <c r="G694" s="24" t="n">
        <v>5007</v>
      </c>
      <c r="H694" s="46" t="n">
        <v>76617.47</v>
      </c>
      <c r="I694" s="6" t="s">
        <v>595</v>
      </c>
    </row>
    <row r="695" customFormat="false" ht="15" hidden="false" customHeight="false" outlineLevel="0" collapsed="false">
      <c r="A695" s="5" t="s">
        <v>558</v>
      </c>
      <c r="B695" s="5" t="s">
        <v>356</v>
      </c>
      <c r="C695" s="5" t="s">
        <v>700</v>
      </c>
      <c r="D695" s="5" t="s">
        <v>620</v>
      </c>
      <c r="E695" s="5" t="s">
        <v>643</v>
      </c>
      <c r="F695" s="45" t="n">
        <v>2246.5</v>
      </c>
      <c r="G695" s="24" t="n">
        <v>2080</v>
      </c>
      <c r="H695" s="46" t="n">
        <v>30667.71</v>
      </c>
      <c r="I695" s="6" t="s">
        <v>596</v>
      </c>
    </row>
    <row r="696" customFormat="false" ht="15" hidden="false" customHeight="false" outlineLevel="0" collapsed="false">
      <c r="A696" s="5" t="s">
        <v>558</v>
      </c>
      <c r="B696" s="5" t="s">
        <v>369</v>
      </c>
      <c r="C696" s="5" t="s">
        <v>700</v>
      </c>
      <c r="D696" s="5" t="s">
        <v>620</v>
      </c>
      <c r="E696" s="5" t="s">
        <v>643</v>
      </c>
      <c r="F696" s="45" t="n">
        <v>216.6</v>
      </c>
      <c r="G696" s="24" t="n">
        <v>218</v>
      </c>
      <c r="H696" s="46" t="n">
        <v>2654.88</v>
      </c>
      <c r="I696" s="6" t="s">
        <v>597</v>
      </c>
    </row>
    <row r="697" customFormat="false" ht="15" hidden="false" customHeight="false" outlineLevel="0" collapsed="false">
      <c r="A697" s="5" t="s">
        <v>713</v>
      </c>
      <c r="B697" s="5" t="s">
        <v>317</v>
      </c>
      <c r="C697" s="5" t="s">
        <v>700</v>
      </c>
      <c r="D697" s="5" t="s">
        <v>620</v>
      </c>
      <c r="E697" s="5" t="s">
        <v>643</v>
      </c>
      <c r="F697" s="45" t="n">
        <v>1017.5</v>
      </c>
      <c r="G697" s="24" t="n">
        <v>975</v>
      </c>
      <c r="H697" s="46" t="n">
        <v>23666.49</v>
      </c>
      <c r="I697" s="6" t="s">
        <v>593</v>
      </c>
    </row>
    <row r="698" customFormat="false" ht="15" hidden="false" customHeight="false" outlineLevel="0" collapsed="false">
      <c r="A698" s="5" t="s">
        <v>713</v>
      </c>
      <c r="B698" s="5" t="s">
        <v>330</v>
      </c>
      <c r="C698" s="5" t="s">
        <v>700</v>
      </c>
      <c r="D698" s="5" t="s">
        <v>620</v>
      </c>
      <c r="E698" s="5" t="s">
        <v>643</v>
      </c>
      <c r="F698" s="45" t="n">
        <v>2322.3</v>
      </c>
      <c r="G698" s="24" t="n">
        <v>2159</v>
      </c>
      <c r="H698" s="46" t="n">
        <v>77704.44</v>
      </c>
      <c r="I698" s="6" t="s">
        <v>594</v>
      </c>
    </row>
    <row r="699" customFormat="false" ht="15" hidden="false" customHeight="false" outlineLevel="0" collapsed="false">
      <c r="A699" s="5" t="s">
        <v>713</v>
      </c>
      <c r="B699" s="5" t="s">
        <v>343</v>
      </c>
      <c r="C699" s="5" t="s">
        <v>700</v>
      </c>
      <c r="D699" s="5" t="s">
        <v>620</v>
      </c>
      <c r="E699" s="5" t="s">
        <v>643</v>
      </c>
      <c r="F699" s="45" t="n">
        <v>2808.1</v>
      </c>
      <c r="G699" s="24" t="n">
        <v>1724</v>
      </c>
      <c r="H699" s="46" t="n">
        <v>24326.36</v>
      </c>
      <c r="I699" s="6" t="s">
        <v>595</v>
      </c>
    </row>
    <row r="700" customFormat="false" ht="15" hidden="false" customHeight="false" outlineLevel="0" collapsed="false">
      <c r="A700" s="5" t="s">
        <v>713</v>
      </c>
      <c r="B700" s="5" t="s">
        <v>356</v>
      </c>
      <c r="C700" s="5" t="s">
        <v>700</v>
      </c>
      <c r="D700" s="5" t="s">
        <v>620</v>
      </c>
      <c r="E700" s="5" t="s">
        <v>643</v>
      </c>
      <c r="F700" s="45" t="n">
        <v>3535.3</v>
      </c>
      <c r="G700" s="24" t="n">
        <v>1353</v>
      </c>
      <c r="H700" s="46" t="n">
        <v>14531.34</v>
      </c>
      <c r="I700" s="6" t="s">
        <v>596</v>
      </c>
    </row>
    <row r="701" customFormat="false" ht="15" hidden="false" customHeight="false" outlineLevel="0" collapsed="false">
      <c r="A701" s="5" t="s">
        <v>713</v>
      </c>
      <c r="B701" s="5" t="s">
        <v>369</v>
      </c>
      <c r="C701" s="5" t="s">
        <v>700</v>
      </c>
      <c r="D701" s="5" t="s">
        <v>620</v>
      </c>
      <c r="E701" s="5" t="s">
        <v>643</v>
      </c>
      <c r="F701" s="45" t="n">
        <v>1017.3</v>
      </c>
      <c r="G701" s="24" t="n">
        <v>178</v>
      </c>
      <c r="H701" s="46" t="n">
        <v>2236.7</v>
      </c>
      <c r="I701" s="6" t="s">
        <v>597</v>
      </c>
    </row>
    <row r="702" customFormat="false" ht="15" hidden="false" customHeight="false" outlineLevel="0" collapsed="false">
      <c r="A702" s="5" t="s">
        <v>549</v>
      </c>
      <c r="B702" s="5" t="s">
        <v>291</v>
      </c>
      <c r="C702" s="5" t="s">
        <v>700</v>
      </c>
      <c r="D702" s="5" t="s">
        <v>620</v>
      </c>
      <c r="E702" s="5" t="s">
        <v>640</v>
      </c>
      <c r="F702" s="45" t="n">
        <v>232</v>
      </c>
      <c r="G702" s="24" t="n">
        <v>199</v>
      </c>
      <c r="H702" s="46" t="n">
        <v>35059.15</v>
      </c>
      <c r="I702" s="6" t="s">
        <v>591</v>
      </c>
    </row>
    <row r="703" customFormat="false" ht="15" hidden="false" customHeight="false" outlineLevel="0" collapsed="false">
      <c r="A703" s="5" t="s">
        <v>549</v>
      </c>
      <c r="B703" s="5" t="s">
        <v>304</v>
      </c>
      <c r="C703" s="5" t="s">
        <v>700</v>
      </c>
      <c r="D703" s="5" t="s">
        <v>620</v>
      </c>
      <c r="E703" s="5" t="s">
        <v>640</v>
      </c>
      <c r="F703" s="45" t="n">
        <v>8981.7</v>
      </c>
      <c r="G703" s="24" t="n">
        <v>5197</v>
      </c>
      <c r="H703" s="46" t="n">
        <v>180923.37</v>
      </c>
      <c r="I703" s="6" t="s">
        <v>592</v>
      </c>
    </row>
    <row r="704" customFormat="false" ht="15" hidden="false" customHeight="false" outlineLevel="0" collapsed="false">
      <c r="A704" s="5" t="s">
        <v>549</v>
      </c>
      <c r="B704" s="5" t="s">
        <v>317</v>
      </c>
      <c r="C704" s="5" t="s">
        <v>700</v>
      </c>
      <c r="D704" s="5" t="s">
        <v>620</v>
      </c>
      <c r="E704" s="5" t="s">
        <v>640</v>
      </c>
      <c r="F704" s="45" t="n">
        <v>55409.2</v>
      </c>
      <c r="G704" s="24" t="n">
        <v>40699</v>
      </c>
      <c r="H704" s="46" t="n">
        <v>910794.67</v>
      </c>
      <c r="I704" s="6" t="s">
        <v>593</v>
      </c>
    </row>
    <row r="705" customFormat="false" ht="15" hidden="false" customHeight="false" outlineLevel="0" collapsed="false">
      <c r="A705" s="5" t="s">
        <v>549</v>
      </c>
      <c r="B705" s="5" t="s">
        <v>330</v>
      </c>
      <c r="C705" s="5" t="s">
        <v>700</v>
      </c>
      <c r="D705" s="5" t="s">
        <v>620</v>
      </c>
      <c r="E705" s="5" t="s">
        <v>640</v>
      </c>
      <c r="F705" s="45" t="n">
        <v>58940.8</v>
      </c>
      <c r="G705" s="24" t="n">
        <v>46563</v>
      </c>
      <c r="H705" s="46" t="n">
        <v>765851.39</v>
      </c>
      <c r="I705" s="6" t="s">
        <v>594</v>
      </c>
    </row>
    <row r="706" customFormat="false" ht="15" hidden="false" customHeight="false" outlineLevel="0" collapsed="false">
      <c r="A706" s="5" t="s">
        <v>549</v>
      </c>
      <c r="B706" s="5" t="s">
        <v>343</v>
      </c>
      <c r="C706" s="5" t="s">
        <v>700</v>
      </c>
      <c r="D706" s="5" t="s">
        <v>620</v>
      </c>
      <c r="E706" s="5" t="s">
        <v>640</v>
      </c>
      <c r="F706" s="45" t="n">
        <v>95270.2</v>
      </c>
      <c r="G706" s="24" t="n">
        <v>39146</v>
      </c>
      <c r="H706" s="46" t="n">
        <v>483264.67</v>
      </c>
      <c r="I706" s="6" t="s">
        <v>595</v>
      </c>
    </row>
    <row r="707" customFormat="false" ht="15" hidden="false" customHeight="false" outlineLevel="0" collapsed="false">
      <c r="A707" s="5" t="s">
        <v>549</v>
      </c>
      <c r="B707" s="5" t="s">
        <v>356</v>
      </c>
      <c r="C707" s="5" t="s">
        <v>700</v>
      </c>
      <c r="D707" s="5" t="s">
        <v>620</v>
      </c>
      <c r="E707" s="5" t="s">
        <v>640</v>
      </c>
      <c r="F707" s="45" t="n">
        <v>60152.4</v>
      </c>
      <c r="G707" s="24" t="n">
        <v>47649</v>
      </c>
      <c r="H707" s="46" t="n">
        <v>1110334.05</v>
      </c>
      <c r="I707" s="6" t="s">
        <v>596</v>
      </c>
    </row>
    <row r="708" customFormat="false" ht="15" hidden="false" customHeight="false" outlineLevel="0" collapsed="false">
      <c r="A708" s="5" t="s">
        <v>549</v>
      </c>
      <c r="B708" s="5" t="s">
        <v>369</v>
      </c>
      <c r="C708" s="5" t="s">
        <v>700</v>
      </c>
      <c r="D708" s="5" t="s">
        <v>620</v>
      </c>
      <c r="E708" s="5" t="s">
        <v>640</v>
      </c>
      <c r="F708" s="45" t="n">
        <v>11490.4</v>
      </c>
      <c r="G708" s="24" t="n">
        <v>9735</v>
      </c>
      <c r="H708" s="46" t="n">
        <v>188531.66</v>
      </c>
      <c r="I708" s="6" t="s">
        <v>597</v>
      </c>
    </row>
    <row r="709" customFormat="false" ht="15" hidden="false" customHeight="false" outlineLevel="0" collapsed="false">
      <c r="A709" s="5" t="s">
        <v>714</v>
      </c>
      <c r="B709" s="5" t="s">
        <v>291</v>
      </c>
      <c r="C709" s="5" t="s">
        <v>700</v>
      </c>
      <c r="D709" s="5" t="s">
        <v>620</v>
      </c>
      <c r="E709" s="5" t="s">
        <v>640</v>
      </c>
      <c r="F709" s="45" t="n">
        <v>162</v>
      </c>
      <c r="G709" s="24" t="n">
        <v>71</v>
      </c>
      <c r="H709" s="46" t="n">
        <v>1096.27</v>
      </c>
      <c r="I709" s="6" t="s">
        <v>591</v>
      </c>
    </row>
    <row r="710" customFormat="false" ht="15" hidden="false" customHeight="false" outlineLevel="0" collapsed="false">
      <c r="A710" s="5" t="s">
        <v>714</v>
      </c>
      <c r="B710" s="5" t="s">
        <v>304</v>
      </c>
      <c r="C710" s="5" t="s">
        <v>700</v>
      </c>
      <c r="D710" s="5" t="s">
        <v>620</v>
      </c>
      <c r="E710" s="5" t="s">
        <v>640</v>
      </c>
      <c r="F710" s="45" t="n">
        <v>2916</v>
      </c>
      <c r="G710" s="24" t="n">
        <v>1582</v>
      </c>
      <c r="H710" s="46" t="n">
        <v>46793.82</v>
      </c>
      <c r="I710" s="6" t="s">
        <v>592</v>
      </c>
    </row>
    <row r="711" customFormat="false" ht="15" hidden="false" customHeight="false" outlineLevel="0" collapsed="false">
      <c r="A711" s="5" t="s">
        <v>714</v>
      </c>
      <c r="B711" s="5" t="s">
        <v>317</v>
      </c>
      <c r="C711" s="5" t="s">
        <v>700</v>
      </c>
      <c r="D711" s="5" t="s">
        <v>620</v>
      </c>
      <c r="E711" s="5" t="s">
        <v>640</v>
      </c>
      <c r="F711" s="45" t="n">
        <v>16633.3</v>
      </c>
      <c r="G711" s="24" t="n">
        <v>11356</v>
      </c>
      <c r="H711" s="46" t="n">
        <v>265004.88</v>
      </c>
      <c r="I711" s="6" t="s">
        <v>593</v>
      </c>
    </row>
    <row r="712" customFormat="false" ht="15" hidden="false" customHeight="false" outlineLevel="0" collapsed="false">
      <c r="A712" s="5" t="s">
        <v>714</v>
      </c>
      <c r="B712" s="5" t="s">
        <v>330</v>
      </c>
      <c r="C712" s="5" t="s">
        <v>700</v>
      </c>
      <c r="D712" s="5" t="s">
        <v>620</v>
      </c>
      <c r="E712" s="5" t="s">
        <v>640</v>
      </c>
      <c r="F712" s="45" t="n">
        <v>20782.2</v>
      </c>
      <c r="G712" s="24" t="n">
        <v>14212</v>
      </c>
      <c r="H712" s="46" t="n">
        <v>280152.56</v>
      </c>
      <c r="I712" s="6" t="s">
        <v>594</v>
      </c>
    </row>
    <row r="713" customFormat="false" ht="15" hidden="false" customHeight="false" outlineLevel="0" collapsed="false">
      <c r="A713" s="5" t="s">
        <v>714</v>
      </c>
      <c r="B713" s="5" t="s">
        <v>343</v>
      </c>
      <c r="C713" s="5" t="s">
        <v>700</v>
      </c>
      <c r="D713" s="5" t="s">
        <v>620</v>
      </c>
      <c r="E713" s="5" t="s">
        <v>640</v>
      </c>
      <c r="F713" s="45" t="n">
        <v>32306.1</v>
      </c>
      <c r="G713" s="24" t="n">
        <v>18949</v>
      </c>
      <c r="H713" s="46" t="n">
        <v>279594.34</v>
      </c>
      <c r="I713" s="6" t="s">
        <v>595</v>
      </c>
    </row>
    <row r="714" customFormat="false" ht="15" hidden="false" customHeight="false" outlineLevel="0" collapsed="false">
      <c r="A714" s="5" t="s">
        <v>714</v>
      </c>
      <c r="B714" s="5" t="s">
        <v>356</v>
      </c>
      <c r="C714" s="5" t="s">
        <v>700</v>
      </c>
      <c r="D714" s="5" t="s">
        <v>620</v>
      </c>
      <c r="E714" s="5" t="s">
        <v>640</v>
      </c>
      <c r="F714" s="45" t="n">
        <v>32563.3</v>
      </c>
      <c r="G714" s="24" t="n">
        <v>23723</v>
      </c>
      <c r="H714" s="46" t="n">
        <v>262515.26</v>
      </c>
      <c r="I714" s="6" t="s">
        <v>596</v>
      </c>
    </row>
    <row r="715" customFormat="false" ht="15" hidden="false" customHeight="false" outlineLevel="0" collapsed="false">
      <c r="A715" s="5" t="s">
        <v>714</v>
      </c>
      <c r="B715" s="5" t="s">
        <v>369</v>
      </c>
      <c r="C715" s="5" t="s">
        <v>700</v>
      </c>
      <c r="D715" s="5" t="s">
        <v>620</v>
      </c>
      <c r="E715" s="5" t="s">
        <v>640</v>
      </c>
      <c r="F715" s="45" t="n">
        <v>6506.4</v>
      </c>
      <c r="G715" s="24" t="n">
        <v>5287</v>
      </c>
      <c r="H715" s="46" t="n">
        <v>82494.33</v>
      </c>
      <c r="I715" s="6" t="s">
        <v>597</v>
      </c>
    </row>
    <row r="716" customFormat="false" ht="15" hidden="false" customHeight="false" outlineLevel="0" collapsed="false">
      <c r="A716" s="5" t="s">
        <v>557</v>
      </c>
      <c r="B716" s="5" t="s">
        <v>291</v>
      </c>
      <c r="C716" s="5" t="s">
        <v>700</v>
      </c>
      <c r="D716" s="5" t="s">
        <v>620</v>
      </c>
      <c r="E716" s="5" t="s">
        <v>643</v>
      </c>
      <c r="F716" s="45" t="n">
        <v>122</v>
      </c>
      <c r="G716" s="24" t="n">
        <v>116</v>
      </c>
      <c r="H716" s="46" t="n">
        <v>2790.82</v>
      </c>
      <c r="I716" s="6" t="s">
        <v>591</v>
      </c>
    </row>
    <row r="717" customFormat="false" ht="15" hidden="false" customHeight="false" outlineLevel="0" collapsed="false">
      <c r="A717" s="5" t="s">
        <v>557</v>
      </c>
      <c r="B717" s="5" t="s">
        <v>304</v>
      </c>
      <c r="C717" s="5" t="s">
        <v>700</v>
      </c>
      <c r="D717" s="5" t="s">
        <v>620</v>
      </c>
      <c r="E717" s="5" t="s">
        <v>643</v>
      </c>
      <c r="F717" s="45" t="n">
        <v>3781.2</v>
      </c>
      <c r="G717" s="24" t="n">
        <v>3271</v>
      </c>
      <c r="H717" s="46" t="n">
        <v>53376.96</v>
      </c>
      <c r="I717" s="6" t="s">
        <v>592</v>
      </c>
    </row>
    <row r="718" customFormat="false" ht="15" hidden="false" customHeight="false" outlineLevel="0" collapsed="false">
      <c r="A718" s="5" t="s">
        <v>557</v>
      </c>
      <c r="B718" s="5" t="s">
        <v>317</v>
      </c>
      <c r="C718" s="5" t="s">
        <v>700</v>
      </c>
      <c r="D718" s="5" t="s">
        <v>620</v>
      </c>
      <c r="E718" s="5" t="s">
        <v>643</v>
      </c>
      <c r="F718" s="45" t="n">
        <v>36094.9</v>
      </c>
      <c r="G718" s="24" t="n">
        <v>31183</v>
      </c>
      <c r="H718" s="46" t="n">
        <v>648540.6</v>
      </c>
      <c r="I718" s="6" t="s">
        <v>593</v>
      </c>
    </row>
    <row r="719" customFormat="false" ht="15" hidden="false" customHeight="false" outlineLevel="0" collapsed="false">
      <c r="A719" s="5" t="s">
        <v>557</v>
      </c>
      <c r="B719" s="5" t="s">
        <v>330</v>
      </c>
      <c r="C719" s="5" t="s">
        <v>700</v>
      </c>
      <c r="D719" s="5" t="s">
        <v>620</v>
      </c>
      <c r="E719" s="5" t="s">
        <v>643</v>
      </c>
      <c r="F719" s="45" t="n">
        <v>56583.8</v>
      </c>
      <c r="G719" s="24" t="n">
        <v>48519</v>
      </c>
      <c r="H719" s="46" t="n">
        <v>920093.15</v>
      </c>
      <c r="I719" s="6" t="s">
        <v>594</v>
      </c>
    </row>
    <row r="720" customFormat="false" ht="15" hidden="false" customHeight="false" outlineLevel="0" collapsed="false">
      <c r="A720" s="5" t="s">
        <v>557</v>
      </c>
      <c r="B720" s="5" t="s">
        <v>343</v>
      </c>
      <c r="C720" s="5" t="s">
        <v>700</v>
      </c>
      <c r="D720" s="5" t="s">
        <v>620</v>
      </c>
      <c r="E720" s="5" t="s">
        <v>643</v>
      </c>
      <c r="F720" s="45" t="n">
        <v>58060.5</v>
      </c>
      <c r="G720" s="24" t="n">
        <v>44454</v>
      </c>
      <c r="H720" s="46" t="n">
        <v>805203.85</v>
      </c>
      <c r="I720" s="6" t="s">
        <v>595</v>
      </c>
    </row>
    <row r="721" customFormat="false" ht="15" hidden="false" customHeight="false" outlineLevel="0" collapsed="false">
      <c r="A721" s="5" t="s">
        <v>557</v>
      </c>
      <c r="B721" s="5" t="s">
        <v>356</v>
      </c>
      <c r="C721" s="5" t="s">
        <v>700</v>
      </c>
      <c r="D721" s="5" t="s">
        <v>620</v>
      </c>
      <c r="E721" s="5" t="s">
        <v>643</v>
      </c>
      <c r="F721" s="45" t="n">
        <v>60556.1</v>
      </c>
      <c r="G721" s="24" t="n">
        <v>53038</v>
      </c>
      <c r="H721" s="46" t="n">
        <v>900281.82</v>
      </c>
      <c r="I721" s="6" t="s">
        <v>596</v>
      </c>
    </row>
    <row r="722" customFormat="false" ht="15" hidden="false" customHeight="false" outlineLevel="0" collapsed="false">
      <c r="A722" s="5" t="s">
        <v>557</v>
      </c>
      <c r="B722" s="5" t="s">
        <v>369</v>
      </c>
      <c r="C722" s="5" t="s">
        <v>700</v>
      </c>
      <c r="D722" s="5" t="s">
        <v>620</v>
      </c>
      <c r="E722" s="5" t="s">
        <v>643</v>
      </c>
      <c r="F722" s="45" t="n">
        <v>10254.2</v>
      </c>
      <c r="G722" s="24" t="n">
        <v>10525</v>
      </c>
      <c r="H722" s="46" t="n">
        <v>190713.1</v>
      </c>
      <c r="I722" s="6" t="s">
        <v>597</v>
      </c>
    </row>
    <row r="723" customFormat="false" ht="15" hidden="false" customHeight="false" outlineLevel="0" collapsed="false">
      <c r="A723" s="5" t="s">
        <v>715</v>
      </c>
      <c r="B723" s="5" t="s">
        <v>291</v>
      </c>
      <c r="C723" s="5" t="s">
        <v>700</v>
      </c>
      <c r="D723" s="5" t="s">
        <v>620</v>
      </c>
      <c r="E723" s="5" t="s">
        <v>643</v>
      </c>
      <c r="F723" s="45" t="n">
        <v>48</v>
      </c>
      <c r="G723" s="24" t="n">
        <v>31</v>
      </c>
      <c r="H723" s="46" t="n">
        <v>1223.37</v>
      </c>
      <c r="I723" s="6" t="s">
        <v>591</v>
      </c>
    </row>
    <row r="724" customFormat="false" ht="15" hidden="false" customHeight="false" outlineLevel="0" collapsed="false">
      <c r="A724" s="5" t="s">
        <v>715</v>
      </c>
      <c r="B724" s="5" t="s">
        <v>304</v>
      </c>
      <c r="C724" s="5" t="s">
        <v>700</v>
      </c>
      <c r="D724" s="5" t="s">
        <v>620</v>
      </c>
      <c r="E724" s="5" t="s">
        <v>643</v>
      </c>
      <c r="F724" s="45" t="n">
        <v>1815.2</v>
      </c>
      <c r="G724" s="24" t="n">
        <v>1486</v>
      </c>
      <c r="H724" s="46" t="n">
        <v>32669.01</v>
      </c>
      <c r="I724" s="6" t="s">
        <v>592</v>
      </c>
    </row>
    <row r="725" customFormat="false" ht="15" hidden="false" customHeight="false" outlineLevel="0" collapsed="false">
      <c r="A725" s="5" t="s">
        <v>715</v>
      </c>
      <c r="B725" s="5" t="s">
        <v>317</v>
      </c>
      <c r="C725" s="5" t="s">
        <v>700</v>
      </c>
      <c r="D725" s="5" t="s">
        <v>620</v>
      </c>
      <c r="E725" s="5" t="s">
        <v>643</v>
      </c>
      <c r="F725" s="45" t="n">
        <v>12519.2</v>
      </c>
      <c r="G725" s="24" t="n">
        <v>10973</v>
      </c>
      <c r="H725" s="46" t="n">
        <v>267932.08</v>
      </c>
      <c r="I725" s="6" t="s">
        <v>593</v>
      </c>
    </row>
    <row r="726" customFormat="false" ht="15" hidden="false" customHeight="false" outlineLevel="0" collapsed="false">
      <c r="A726" s="5" t="s">
        <v>715</v>
      </c>
      <c r="B726" s="5" t="s">
        <v>330</v>
      </c>
      <c r="C726" s="5" t="s">
        <v>700</v>
      </c>
      <c r="D726" s="5" t="s">
        <v>620</v>
      </c>
      <c r="E726" s="5" t="s">
        <v>643</v>
      </c>
      <c r="F726" s="45" t="n">
        <v>22206.1</v>
      </c>
      <c r="G726" s="24" t="n">
        <v>19100</v>
      </c>
      <c r="H726" s="46" t="n">
        <v>369295.88</v>
      </c>
      <c r="I726" s="6" t="s">
        <v>594</v>
      </c>
    </row>
    <row r="727" customFormat="false" ht="15" hidden="false" customHeight="false" outlineLevel="0" collapsed="false">
      <c r="A727" s="5" t="s">
        <v>715</v>
      </c>
      <c r="B727" s="5" t="s">
        <v>343</v>
      </c>
      <c r="C727" s="5" t="s">
        <v>700</v>
      </c>
      <c r="D727" s="5" t="s">
        <v>620</v>
      </c>
      <c r="E727" s="5" t="s">
        <v>643</v>
      </c>
      <c r="F727" s="45" t="n">
        <v>44898.8</v>
      </c>
      <c r="G727" s="24" t="n">
        <v>22358</v>
      </c>
      <c r="H727" s="46" t="n">
        <v>395028.35</v>
      </c>
      <c r="I727" s="6" t="s">
        <v>595</v>
      </c>
    </row>
    <row r="728" customFormat="false" ht="15" hidden="false" customHeight="false" outlineLevel="0" collapsed="false">
      <c r="A728" s="5" t="s">
        <v>715</v>
      </c>
      <c r="B728" s="5" t="s">
        <v>356</v>
      </c>
      <c r="C728" s="5" t="s">
        <v>700</v>
      </c>
      <c r="D728" s="5" t="s">
        <v>620</v>
      </c>
      <c r="E728" s="5" t="s">
        <v>643</v>
      </c>
      <c r="F728" s="45" t="n">
        <v>31013.3</v>
      </c>
      <c r="G728" s="24" t="n">
        <v>27538</v>
      </c>
      <c r="H728" s="46" t="n">
        <v>415815.73</v>
      </c>
      <c r="I728" s="6" t="s">
        <v>596</v>
      </c>
    </row>
    <row r="729" customFormat="false" ht="15" hidden="false" customHeight="false" outlineLevel="0" collapsed="false">
      <c r="A729" s="5" t="s">
        <v>715</v>
      </c>
      <c r="B729" s="5" t="s">
        <v>369</v>
      </c>
      <c r="C729" s="5" t="s">
        <v>700</v>
      </c>
      <c r="D729" s="5" t="s">
        <v>620</v>
      </c>
      <c r="E729" s="5" t="s">
        <v>643</v>
      </c>
      <c r="F729" s="45" t="n">
        <v>6768.2</v>
      </c>
      <c r="G729" s="24" t="n">
        <v>5966</v>
      </c>
      <c r="H729" s="46" t="n">
        <v>90204.64</v>
      </c>
      <c r="I729" s="6" t="s">
        <v>597</v>
      </c>
    </row>
    <row r="730" customFormat="false" ht="15" hidden="false" customHeight="false" outlineLevel="0" collapsed="false">
      <c r="A730" s="5" t="s">
        <v>554</v>
      </c>
      <c r="B730" s="5" t="s">
        <v>343</v>
      </c>
      <c r="C730" s="5" t="s">
        <v>700</v>
      </c>
      <c r="D730" s="5" t="s">
        <v>620</v>
      </c>
      <c r="E730" s="5" t="s">
        <v>625</v>
      </c>
      <c r="F730" s="45" t="n">
        <v>2304</v>
      </c>
      <c r="G730" s="24" t="n">
        <v>1370</v>
      </c>
      <c r="H730" s="46" t="n">
        <v>27166.13</v>
      </c>
      <c r="I730" s="6" t="s">
        <v>595</v>
      </c>
    </row>
    <row r="731" customFormat="false" ht="15" hidden="false" customHeight="false" outlineLevel="0" collapsed="false">
      <c r="A731" s="5" t="s">
        <v>554</v>
      </c>
      <c r="B731" s="5" t="s">
        <v>356</v>
      </c>
      <c r="C731" s="5" t="s">
        <v>700</v>
      </c>
      <c r="D731" s="5" t="s">
        <v>620</v>
      </c>
      <c r="E731" s="5" t="s">
        <v>625</v>
      </c>
      <c r="F731" s="45" t="n">
        <v>39797.4</v>
      </c>
      <c r="G731" s="24" t="n">
        <v>12742</v>
      </c>
      <c r="H731" s="46" t="n">
        <v>399895.71</v>
      </c>
      <c r="I731" s="6" t="s">
        <v>596</v>
      </c>
    </row>
    <row r="732" customFormat="false" ht="15" hidden="false" customHeight="false" outlineLevel="0" collapsed="false">
      <c r="A732" s="5" t="s">
        <v>554</v>
      </c>
      <c r="B732" s="5" t="s">
        <v>369</v>
      </c>
      <c r="C732" s="5" t="s">
        <v>700</v>
      </c>
      <c r="D732" s="5" t="s">
        <v>620</v>
      </c>
      <c r="E732" s="5" t="s">
        <v>625</v>
      </c>
      <c r="F732" s="45" t="n">
        <v>10526.9</v>
      </c>
      <c r="G732" s="24" t="n">
        <v>3972</v>
      </c>
      <c r="H732" s="46" t="n">
        <v>119650.24</v>
      </c>
      <c r="I732" s="6" t="s">
        <v>597</v>
      </c>
    </row>
    <row r="733" customFormat="false" ht="15" hidden="false" customHeight="false" outlineLevel="0" collapsed="false">
      <c r="A733" s="5" t="s">
        <v>716</v>
      </c>
      <c r="B733" s="5" t="s">
        <v>356</v>
      </c>
      <c r="C733" s="5" t="s">
        <v>700</v>
      </c>
      <c r="D733" s="5" t="s">
        <v>620</v>
      </c>
      <c r="E733" s="5" t="s">
        <v>625</v>
      </c>
      <c r="F733" s="45" t="n">
        <v>142.5</v>
      </c>
      <c r="G733" s="24" t="n">
        <v>99</v>
      </c>
      <c r="H733" s="46" t="n">
        <v>615.43</v>
      </c>
      <c r="I733" s="6" t="s">
        <v>596</v>
      </c>
    </row>
    <row r="734" customFormat="false" ht="15" hidden="false" customHeight="false" outlineLevel="0" collapsed="false">
      <c r="A734" s="5" t="s">
        <v>716</v>
      </c>
      <c r="B734" s="5" t="s">
        <v>369</v>
      </c>
      <c r="C734" s="5" t="s">
        <v>700</v>
      </c>
      <c r="D734" s="5" t="s">
        <v>620</v>
      </c>
      <c r="E734" s="5" t="s">
        <v>625</v>
      </c>
      <c r="F734" s="45" t="n">
        <v>19</v>
      </c>
      <c r="G734" s="24" t="n">
        <v>12</v>
      </c>
      <c r="H734" s="46" t="n">
        <v>106.74</v>
      </c>
      <c r="I734" s="6" t="s">
        <v>597</v>
      </c>
    </row>
    <row r="735" customFormat="false" ht="15" hidden="false" customHeight="false" outlineLevel="0" collapsed="false">
      <c r="A735" s="5" t="s">
        <v>717</v>
      </c>
      <c r="B735" s="5" t="s">
        <v>343</v>
      </c>
      <c r="C735" s="5" t="s">
        <v>700</v>
      </c>
      <c r="D735" s="5" t="s">
        <v>620</v>
      </c>
      <c r="E735" s="5" t="s">
        <v>631</v>
      </c>
      <c r="F735" s="45" t="n">
        <v>1101.5</v>
      </c>
      <c r="G735" s="24" t="n">
        <v>398</v>
      </c>
      <c r="H735" s="46" t="n">
        <v>5230.97</v>
      </c>
      <c r="I735" s="6" t="s">
        <v>595</v>
      </c>
    </row>
    <row r="736" customFormat="false" ht="15" hidden="false" customHeight="false" outlineLevel="0" collapsed="false">
      <c r="A736" s="5" t="s">
        <v>717</v>
      </c>
      <c r="B736" s="5" t="s">
        <v>356</v>
      </c>
      <c r="C736" s="5" t="s">
        <v>700</v>
      </c>
      <c r="D736" s="5" t="s">
        <v>620</v>
      </c>
      <c r="E736" s="5" t="s">
        <v>631</v>
      </c>
      <c r="F736" s="45" t="n">
        <v>4709.2</v>
      </c>
      <c r="G736" s="24" t="n">
        <v>3856</v>
      </c>
      <c r="H736" s="46" t="n">
        <v>51400.63</v>
      </c>
      <c r="I736" s="6" t="s">
        <v>596</v>
      </c>
    </row>
    <row r="737" customFormat="false" ht="15" hidden="false" customHeight="false" outlineLevel="0" collapsed="false">
      <c r="A737" s="5" t="s">
        <v>717</v>
      </c>
      <c r="B737" s="5" t="s">
        <v>369</v>
      </c>
      <c r="C737" s="5" t="s">
        <v>700</v>
      </c>
      <c r="D737" s="5" t="s">
        <v>620</v>
      </c>
      <c r="E737" s="5" t="s">
        <v>631</v>
      </c>
      <c r="F737" s="45" t="n">
        <v>1761.9</v>
      </c>
      <c r="G737" s="24" t="n">
        <v>1214</v>
      </c>
      <c r="H737" s="46" t="n">
        <v>14084.71</v>
      </c>
      <c r="I737" s="6" t="s">
        <v>597</v>
      </c>
    </row>
    <row r="738" customFormat="false" ht="15" hidden="false" customHeight="false" outlineLevel="0" collapsed="false">
      <c r="A738" s="5" t="s">
        <v>718</v>
      </c>
      <c r="B738" s="5" t="s">
        <v>343</v>
      </c>
      <c r="C738" s="5" t="s">
        <v>700</v>
      </c>
      <c r="D738" s="5" t="s">
        <v>620</v>
      </c>
      <c r="E738" s="5" t="s">
        <v>631</v>
      </c>
      <c r="F738" s="45" t="n">
        <v>169</v>
      </c>
      <c r="G738" s="24" t="n">
        <v>78</v>
      </c>
      <c r="H738" s="46" t="n">
        <v>89.58</v>
      </c>
      <c r="I738" s="6" t="s">
        <v>595</v>
      </c>
    </row>
    <row r="739" customFormat="false" ht="15" hidden="false" customHeight="false" outlineLevel="0" collapsed="false">
      <c r="A739" s="5" t="s">
        <v>718</v>
      </c>
      <c r="B739" s="5" t="s">
        <v>356</v>
      </c>
      <c r="C739" s="5" t="s">
        <v>700</v>
      </c>
      <c r="D739" s="5" t="s">
        <v>620</v>
      </c>
      <c r="E739" s="5" t="s">
        <v>631</v>
      </c>
      <c r="F739" s="45" t="n">
        <v>165.6</v>
      </c>
      <c r="G739" s="24" t="n">
        <v>89</v>
      </c>
      <c r="H739" s="46" t="n">
        <v>1154.26</v>
      </c>
      <c r="I739" s="6" t="s">
        <v>596</v>
      </c>
    </row>
    <row r="740" customFormat="false" ht="15" hidden="false" customHeight="false" outlineLevel="0" collapsed="false">
      <c r="A740" s="5" t="s">
        <v>718</v>
      </c>
      <c r="B740" s="5" t="s">
        <v>369</v>
      </c>
      <c r="C740" s="5" t="s">
        <v>700</v>
      </c>
      <c r="D740" s="5" t="s">
        <v>620</v>
      </c>
      <c r="E740" s="5" t="s">
        <v>631</v>
      </c>
      <c r="F740" s="45" t="n">
        <v>22.5</v>
      </c>
      <c r="G740" s="24" t="n">
        <v>17</v>
      </c>
      <c r="H740" s="46" t="n">
        <v>809.66</v>
      </c>
      <c r="I740" s="6" t="s">
        <v>597</v>
      </c>
    </row>
    <row r="741" customFormat="false" ht="15" hidden="false" customHeight="false" outlineLevel="0" collapsed="false">
      <c r="A741" s="5" t="s">
        <v>719</v>
      </c>
      <c r="B741" s="5" t="s">
        <v>369</v>
      </c>
      <c r="C741" s="5" t="s">
        <v>720</v>
      </c>
      <c r="D741" s="5" t="s">
        <v>587</v>
      </c>
      <c r="E741" s="5" t="s">
        <v>611</v>
      </c>
      <c r="F741" s="45" t="n">
        <v>23</v>
      </c>
      <c r="G741" s="24" t="n">
        <v>27</v>
      </c>
      <c r="H741" s="46" t="n">
        <v>0.73</v>
      </c>
      <c r="I741" s="6" t="s">
        <v>597</v>
      </c>
    </row>
    <row r="742" customFormat="false" ht="15" hidden="false" customHeight="false" outlineLevel="0" collapsed="false">
      <c r="A742" s="5" t="s">
        <v>721</v>
      </c>
      <c r="B742" s="5" t="s">
        <v>369</v>
      </c>
      <c r="C742" s="5" t="s">
        <v>720</v>
      </c>
      <c r="D742" s="5" t="s">
        <v>587</v>
      </c>
      <c r="E742" s="5" t="s">
        <v>611</v>
      </c>
      <c r="F742" s="45" t="n">
        <v>164.3</v>
      </c>
      <c r="G742" s="24" t="n">
        <v>21</v>
      </c>
      <c r="H742" s="46" t="n">
        <v>246.9</v>
      </c>
      <c r="I742" s="6" t="s">
        <v>597</v>
      </c>
    </row>
  </sheetData>
  <autoFilter ref="A5:I74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</cols>
  <sheetData>
    <row r="1" customFormat="false" ht="17.35" hidden="false" customHeight="false" outlineLevel="0" collapsed="false">
      <c r="A1" s="1" t="s">
        <v>722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723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724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10" t="s">
        <v>725</v>
      </c>
      <c r="B5" s="10" t="s">
        <v>265</v>
      </c>
      <c r="C5" s="10" t="s">
        <v>278</v>
      </c>
      <c r="D5" s="10" t="s">
        <v>291</v>
      </c>
      <c r="E5" s="10" t="s">
        <v>304</v>
      </c>
      <c r="F5" s="10" t="s">
        <v>317</v>
      </c>
      <c r="G5" s="10" t="s">
        <v>330</v>
      </c>
      <c r="H5" s="10" t="s">
        <v>343</v>
      </c>
      <c r="I5" s="10" t="s">
        <v>356</v>
      </c>
      <c r="J5" s="10" t="s">
        <v>369</v>
      </c>
    </row>
    <row r="6" customFormat="false" ht="15" hidden="false" customHeight="false" outlineLevel="0" collapsed="false">
      <c r="A6" s="6" t="s">
        <v>586</v>
      </c>
      <c r="B6" s="23" t="n">
        <f aca="false">SUMIFS(SDUD_NDC_data!$G$6:$G$742,SDUD_NDC_data!$D$6:$D$742,"MPSS",SDUD_NDC_data!$C$6:$C$742,$A6,SDUD_NDC_data!$B$6:$B$742,"2018")</f>
        <v>367337</v>
      </c>
      <c r="C6" s="23" t="n">
        <f aca="false">SUMIFS(SDUD_NDC_data!$G$6:$G$742,SDUD_NDC_data!$D$6:$D$742,"MPSS",SDUD_NDC_data!$C$6:$C$742,$A6,SDUD_NDC_data!$B$6:$B$742,"2019")</f>
        <v>360827</v>
      </c>
      <c r="D6" s="23" t="n">
        <f aca="false">SUMIFS(SDUD_NDC_data!$G$6:$G$742,SDUD_NDC_data!$D$6:$D$742,"MPSS",SDUD_NDC_data!$C$6:$C$742,$A6,SDUD_NDC_data!$B$6:$B$742,"2020")</f>
        <v>282664</v>
      </c>
      <c r="E6" s="23" t="n">
        <f aca="false">SUMIFS(SDUD_NDC_data!$G$6:$G$742,SDUD_NDC_data!$D$6:$D$742,"MPSS",SDUD_NDC_data!$C$6:$C$742,$A6,SDUD_NDC_data!$B$6:$B$742,"2021")</f>
        <v>288572</v>
      </c>
      <c r="F6" s="23" t="n">
        <f aca="false">SUMIFS(SDUD_NDC_data!$G$6:$G$742,SDUD_NDC_data!$D$6:$D$742,"MPSS",SDUD_NDC_data!$C$6:$C$742,$A6,SDUD_NDC_data!$B$6:$B$742,"2022")</f>
        <v>327272</v>
      </c>
      <c r="G6" s="23" t="n">
        <f aca="false">SUMIFS(SDUD_NDC_data!$G$6:$G$742,SDUD_NDC_data!$D$6:$D$742,"MPSS",SDUD_NDC_data!$C$6:$C$742,$A6,SDUD_NDC_data!$B$6:$B$742,"2023")</f>
        <v>317625</v>
      </c>
      <c r="H6" s="23" t="n">
        <f aca="false">SUMIFS(SDUD_NDC_data!$G$6:$G$742,SDUD_NDC_data!$D$6:$D$742,"MPSS",SDUD_NDC_data!$C$6:$C$742,$A6,SDUD_NDC_data!$B$6:$B$742,"2024")</f>
        <v>256676</v>
      </c>
      <c r="I6" s="23" t="n">
        <f aca="false">SUMIFS(SDUD_NDC_data!$G$6:$G$742,SDUD_NDC_data!$D$6:$D$742,"MPSS",SDUD_NDC_data!$C$6:$C$742,$A6,SDUD_NDC_data!$B$6:$B$742,"2025")</f>
        <v>277730</v>
      </c>
      <c r="J6" s="23" t="n">
        <f aca="false">SUMIFS(SDUD_NDC_data!$G$6:$G$742,SDUD_NDC_data!$D$6:$D$742,"MPSS",SDUD_NDC_data!$C$6:$C$742,$A6,SDUD_NDC_data!$B$6:$B$742,"2026")</f>
        <v>52341</v>
      </c>
    </row>
    <row r="7" customFormat="false" ht="15" hidden="false" customHeight="false" outlineLevel="0" collapsed="false">
      <c r="A7" s="6" t="s">
        <v>704</v>
      </c>
      <c r="B7" s="23" t="n">
        <f aca="false">SUMIFS(SDUD_NDC_data!$G$6:$G$742,SDUD_NDC_data!$D$6:$D$742,"MPSS",SDUD_NDC_data!$C$6:$C$742,$A7,SDUD_NDC_data!$B$6:$B$742,"2018")</f>
        <v>35667</v>
      </c>
      <c r="C7" s="23" t="n">
        <f aca="false">SUMIFS(SDUD_NDC_data!$G$6:$G$742,SDUD_NDC_data!$D$6:$D$742,"MPSS",SDUD_NDC_data!$C$6:$C$742,$A7,SDUD_NDC_data!$B$6:$B$742,"2019")</f>
        <v>37454</v>
      </c>
      <c r="D7" s="23" t="n">
        <f aca="false">SUMIFS(SDUD_NDC_data!$G$6:$G$742,SDUD_NDC_data!$D$6:$D$742,"MPSS",SDUD_NDC_data!$C$6:$C$742,$A7,SDUD_NDC_data!$B$6:$B$742,"2020")</f>
        <v>31167</v>
      </c>
      <c r="E7" s="23" t="n">
        <f aca="false">SUMIFS(SDUD_NDC_data!$G$6:$G$742,SDUD_NDC_data!$D$6:$D$742,"MPSS",SDUD_NDC_data!$C$6:$C$742,$A7,SDUD_NDC_data!$B$6:$B$742,"2021")</f>
        <v>41796</v>
      </c>
      <c r="F7" s="23" t="n">
        <f aca="false">SUMIFS(SDUD_NDC_data!$G$6:$G$742,SDUD_NDC_data!$D$6:$D$742,"MPSS",SDUD_NDC_data!$C$6:$C$742,$A7,SDUD_NDC_data!$B$6:$B$742,"2022")</f>
        <v>44073</v>
      </c>
      <c r="G7" s="23" t="n">
        <f aca="false">SUMIFS(SDUD_NDC_data!$G$6:$G$742,SDUD_NDC_data!$D$6:$D$742,"MPSS",SDUD_NDC_data!$C$6:$C$742,$A7,SDUD_NDC_data!$B$6:$B$742,"2023")</f>
        <v>48597</v>
      </c>
      <c r="H7" s="23" t="n">
        <f aca="false">SUMIFS(SDUD_NDC_data!$G$6:$G$742,SDUD_NDC_data!$D$6:$D$742,"MPSS",SDUD_NDC_data!$C$6:$C$742,$A7,SDUD_NDC_data!$B$6:$B$742,"2024")</f>
        <v>36515</v>
      </c>
      <c r="I7" s="23" t="n">
        <f aca="false">SUMIFS(SDUD_NDC_data!$G$6:$G$742,SDUD_NDC_data!$D$6:$D$742,"MPSS",SDUD_NDC_data!$C$6:$C$742,$A7,SDUD_NDC_data!$B$6:$B$742,"2025")</f>
        <v>32295</v>
      </c>
      <c r="J7" s="23" t="n">
        <f aca="false">SUMIFS(SDUD_NDC_data!$G$6:$G$742,SDUD_NDC_data!$D$6:$D$742,"MPSS",SDUD_NDC_data!$C$6:$C$742,$A7,SDUD_NDC_data!$B$6:$B$742,"2026")</f>
        <v>4300</v>
      </c>
    </row>
    <row r="8" customFormat="false" ht="15" hidden="false" customHeight="false" outlineLevel="0" collapsed="false">
      <c r="A8" s="6" t="s">
        <v>693</v>
      </c>
      <c r="B8" s="23" t="n">
        <f aca="false">SUMIFS(SDUD_NDC_data!$G$6:$G$742,SDUD_NDC_data!$D$6:$D$742,"MPSS",SDUD_NDC_data!$C$6:$C$742,$A8,SDUD_NDC_data!$B$6:$B$742,"2018")</f>
        <v>0</v>
      </c>
      <c r="C8" s="23" t="n">
        <f aca="false">SUMIFS(SDUD_NDC_data!$G$6:$G$742,SDUD_NDC_data!$D$6:$D$742,"MPSS",SDUD_NDC_data!$C$6:$C$742,$A8,SDUD_NDC_data!$B$6:$B$742,"2019")</f>
        <v>0</v>
      </c>
      <c r="D8" s="23" t="n">
        <f aca="false">SUMIFS(SDUD_NDC_data!$G$6:$G$742,SDUD_NDC_data!$D$6:$D$742,"MPSS",SDUD_NDC_data!$C$6:$C$742,$A8,SDUD_NDC_data!$B$6:$B$742,"2020")</f>
        <v>0</v>
      </c>
      <c r="E8" s="23" t="n">
        <f aca="false">SUMIFS(SDUD_NDC_data!$G$6:$G$742,SDUD_NDC_data!$D$6:$D$742,"MPSS",SDUD_NDC_data!$C$6:$C$742,$A8,SDUD_NDC_data!$B$6:$B$742,"2021")</f>
        <v>0</v>
      </c>
      <c r="F8" s="23" t="n">
        <f aca="false">SUMIFS(SDUD_NDC_data!$G$6:$G$742,SDUD_NDC_data!$D$6:$D$742,"MPSS",SDUD_NDC_data!$C$6:$C$742,$A8,SDUD_NDC_data!$B$6:$B$742,"2022")</f>
        <v>1385</v>
      </c>
      <c r="G8" s="23" t="n">
        <f aca="false">SUMIFS(SDUD_NDC_data!$G$6:$G$742,SDUD_NDC_data!$D$6:$D$742,"MPSS",SDUD_NDC_data!$C$6:$C$742,$A8,SDUD_NDC_data!$B$6:$B$742,"2023")</f>
        <v>16685</v>
      </c>
      <c r="H8" s="23" t="n">
        <f aca="false">SUMIFS(SDUD_NDC_data!$G$6:$G$742,SDUD_NDC_data!$D$6:$D$742,"MPSS",SDUD_NDC_data!$C$6:$C$742,$A8,SDUD_NDC_data!$B$6:$B$742,"2024")</f>
        <v>24609</v>
      </c>
      <c r="I8" s="23" t="n">
        <f aca="false">SUMIFS(SDUD_NDC_data!$G$6:$G$742,SDUD_NDC_data!$D$6:$D$742,"MPSS",SDUD_NDC_data!$C$6:$C$742,$A8,SDUD_NDC_data!$B$6:$B$742,"2025")</f>
        <v>45597</v>
      </c>
      <c r="J8" s="23" t="n">
        <f aca="false">SUMIFS(SDUD_NDC_data!$G$6:$G$742,SDUD_NDC_data!$D$6:$D$742,"MPSS",SDUD_NDC_data!$C$6:$C$742,$A8,SDUD_NDC_data!$B$6:$B$742,"2026")</f>
        <v>11976</v>
      </c>
    </row>
    <row r="9" customFormat="false" ht="15" hidden="false" customHeight="false" outlineLevel="0" collapsed="false">
      <c r="A9" s="6" t="s">
        <v>648</v>
      </c>
      <c r="B9" s="23" t="n">
        <f aca="false">SUMIFS(SDUD_NDC_data!$G$6:$G$742,SDUD_NDC_data!$D$6:$D$742,"MPSS",SDUD_NDC_data!$C$6:$C$742,$A9,SDUD_NDC_data!$B$6:$B$742,"2018")</f>
        <v>0</v>
      </c>
      <c r="C9" s="23" t="n">
        <f aca="false">SUMIFS(SDUD_NDC_data!$G$6:$G$742,SDUD_NDC_data!$D$6:$D$742,"MPSS",SDUD_NDC_data!$C$6:$C$742,$A9,SDUD_NDC_data!$B$6:$B$742,"2019")</f>
        <v>0</v>
      </c>
      <c r="D9" s="23" t="n">
        <f aca="false">SUMIFS(SDUD_NDC_data!$G$6:$G$742,SDUD_NDC_data!$D$6:$D$742,"MPSS",SDUD_NDC_data!$C$6:$C$742,$A9,SDUD_NDC_data!$B$6:$B$742,"2020")</f>
        <v>604</v>
      </c>
      <c r="E9" s="23" t="n">
        <f aca="false">SUMIFS(SDUD_NDC_data!$G$6:$G$742,SDUD_NDC_data!$D$6:$D$742,"MPSS",SDUD_NDC_data!$C$6:$C$742,$A9,SDUD_NDC_data!$B$6:$B$742,"2021")</f>
        <v>811</v>
      </c>
      <c r="F9" s="23" t="n">
        <f aca="false">SUMIFS(SDUD_NDC_data!$G$6:$G$742,SDUD_NDC_data!$D$6:$D$742,"MPSS",SDUD_NDC_data!$C$6:$C$742,$A9,SDUD_NDC_data!$B$6:$B$742,"2022")</f>
        <v>807</v>
      </c>
      <c r="G9" s="23" t="n">
        <f aca="false">SUMIFS(SDUD_NDC_data!$G$6:$G$742,SDUD_NDC_data!$D$6:$D$742,"MPSS",SDUD_NDC_data!$C$6:$C$742,$A9,SDUD_NDC_data!$B$6:$B$742,"2023")</f>
        <v>3338</v>
      </c>
      <c r="H9" s="23" t="n">
        <f aca="false">SUMIFS(SDUD_NDC_data!$G$6:$G$742,SDUD_NDC_data!$D$6:$D$742,"MPSS",SDUD_NDC_data!$C$6:$C$742,$A9,SDUD_NDC_data!$B$6:$B$742,"2024")</f>
        <v>6922</v>
      </c>
      <c r="I9" s="23" t="n">
        <f aca="false">SUMIFS(SDUD_NDC_data!$G$6:$G$742,SDUD_NDC_data!$D$6:$D$742,"MPSS",SDUD_NDC_data!$C$6:$C$742,$A9,SDUD_NDC_data!$B$6:$B$742,"2025")</f>
        <v>14590</v>
      </c>
      <c r="J9" s="23" t="n">
        <f aca="false">SUMIFS(SDUD_NDC_data!$G$6:$G$742,SDUD_NDC_data!$D$6:$D$742,"MPSS",SDUD_NDC_data!$C$6:$C$742,$A9,SDUD_NDC_data!$B$6:$B$742,"2026")</f>
        <v>2253</v>
      </c>
    </row>
    <row r="10" customFormat="false" ht="15" hidden="false" customHeight="false" outlineLevel="0" collapsed="false">
      <c r="A10" s="6" t="s">
        <v>700</v>
      </c>
      <c r="B10" s="23" t="n">
        <f aca="false">SUMIFS(SDUD_NDC_data!$G$6:$G$742,SDUD_NDC_data!$D$6:$D$742,"MPSS",SDUD_NDC_data!$C$6:$C$742,$A10,SDUD_NDC_data!$B$6:$B$742,"2018")</f>
        <v>1052</v>
      </c>
      <c r="C10" s="23" t="n">
        <f aca="false">SUMIFS(SDUD_NDC_data!$G$6:$G$742,SDUD_NDC_data!$D$6:$D$742,"MPSS",SDUD_NDC_data!$C$6:$C$742,$A10,SDUD_NDC_data!$B$6:$B$742,"2019")</f>
        <v>992</v>
      </c>
      <c r="D10" s="23" t="n">
        <f aca="false">SUMIFS(SDUD_NDC_data!$G$6:$G$742,SDUD_NDC_data!$D$6:$D$742,"MPSS",SDUD_NDC_data!$C$6:$C$742,$A10,SDUD_NDC_data!$B$6:$B$742,"2020")</f>
        <v>773</v>
      </c>
      <c r="E10" s="23" t="n">
        <f aca="false">SUMIFS(SDUD_NDC_data!$G$6:$G$742,SDUD_NDC_data!$D$6:$D$742,"MPSS",SDUD_NDC_data!$C$6:$C$742,$A10,SDUD_NDC_data!$B$6:$B$742,"2021")</f>
        <v>715</v>
      </c>
      <c r="F10" s="23" t="n">
        <f aca="false">SUMIFS(SDUD_NDC_data!$G$6:$G$742,SDUD_NDC_data!$D$6:$D$742,"MPSS",SDUD_NDC_data!$C$6:$C$742,$A10,SDUD_NDC_data!$B$6:$B$742,"2022")</f>
        <v>898</v>
      </c>
      <c r="G10" s="23" t="n">
        <f aca="false">SUMIFS(SDUD_NDC_data!$G$6:$G$742,SDUD_NDC_data!$D$6:$D$742,"MPSS",SDUD_NDC_data!$C$6:$C$742,$A10,SDUD_NDC_data!$B$6:$B$742,"2023")</f>
        <v>1886</v>
      </c>
      <c r="H10" s="23" t="n">
        <f aca="false">SUMIFS(SDUD_NDC_data!$G$6:$G$742,SDUD_NDC_data!$D$6:$D$742,"MPSS",SDUD_NDC_data!$C$6:$C$742,$A10,SDUD_NDC_data!$B$6:$B$742,"2024")</f>
        <v>389</v>
      </c>
      <c r="I10" s="23" t="n">
        <f aca="false">SUMIFS(SDUD_NDC_data!$G$6:$G$742,SDUD_NDC_data!$D$6:$D$742,"MPSS",SDUD_NDC_data!$C$6:$C$742,$A10,SDUD_NDC_data!$B$6:$B$742,"2025")</f>
        <v>26</v>
      </c>
      <c r="J10" s="23" t="n">
        <f aca="false">SUMIFS(SDUD_NDC_data!$G$6:$G$742,SDUD_NDC_data!$D$6:$D$742,"MPSS",SDUD_NDC_data!$C$6:$C$742,$A10,SDUD_NDC_data!$B$6:$B$742,"2026")</f>
        <v>13</v>
      </c>
    </row>
    <row r="11" customFormat="false" ht="15" hidden="false" customHeight="false" outlineLevel="0" collapsed="false">
      <c r="A11" s="6" t="s">
        <v>684</v>
      </c>
      <c r="B11" s="23" t="n">
        <f aca="false">SUMIFS(SDUD_NDC_data!$G$6:$G$742,SDUD_NDC_data!$D$6:$D$742,"MPSS",SDUD_NDC_data!$C$6:$C$742,$A11,SDUD_NDC_data!$B$6:$B$742,"2018")</f>
        <v>1339</v>
      </c>
      <c r="C11" s="23" t="n">
        <f aca="false">SUMIFS(SDUD_NDC_data!$G$6:$G$742,SDUD_NDC_data!$D$6:$D$742,"MPSS",SDUD_NDC_data!$C$6:$C$742,$A11,SDUD_NDC_data!$B$6:$B$742,"2019")</f>
        <v>1288</v>
      </c>
      <c r="D11" s="23" t="n">
        <f aca="false">SUMIFS(SDUD_NDC_data!$G$6:$G$742,SDUD_NDC_data!$D$6:$D$742,"MPSS",SDUD_NDC_data!$C$6:$C$742,$A11,SDUD_NDC_data!$B$6:$B$742,"2020")</f>
        <v>897</v>
      </c>
      <c r="E11" s="23" t="n">
        <f aca="false">SUMIFS(SDUD_NDC_data!$G$6:$G$742,SDUD_NDC_data!$D$6:$D$742,"MPSS",SDUD_NDC_data!$C$6:$C$742,$A11,SDUD_NDC_data!$B$6:$B$742,"2021")</f>
        <v>685</v>
      </c>
      <c r="F11" s="23" t="n">
        <f aca="false">SUMIFS(SDUD_NDC_data!$G$6:$G$742,SDUD_NDC_data!$D$6:$D$742,"MPSS",SDUD_NDC_data!$C$6:$C$742,$A11,SDUD_NDC_data!$B$6:$B$742,"2022")</f>
        <v>653</v>
      </c>
      <c r="G11" s="23" t="n">
        <f aca="false">SUMIFS(SDUD_NDC_data!$G$6:$G$742,SDUD_NDC_data!$D$6:$D$742,"MPSS",SDUD_NDC_data!$C$6:$C$742,$A11,SDUD_NDC_data!$B$6:$B$742,"2023")</f>
        <v>430</v>
      </c>
      <c r="H11" s="23" t="n">
        <f aca="false">SUMIFS(SDUD_NDC_data!$G$6:$G$742,SDUD_NDC_data!$D$6:$D$742,"MPSS",SDUD_NDC_data!$C$6:$C$742,$A11,SDUD_NDC_data!$B$6:$B$742,"2024")</f>
        <v>322</v>
      </c>
      <c r="I11" s="23" t="n">
        <f aca="false">SUMIFS(SDUD_NDC_data!$G$6:$G$742,SDUD_NDC_data!$D$6:$D$742,"MPSS",SDUD_NDC_data!$C$6:$C$742,$A11,SDUD_NDC_data!$B$6:$B$742,"2025")</f>
        <v>30</v>
      </c>
      <c r="J11" s="23" t="n">
        <f aca="false">SUMIFS(SDUD_NDC_data!$G$6:$G$742,SDUD_NDC_data!$D$6:$D$742,"MPSS",SDUD_NDC_data!$C$6:$C$742,$A11,SDUD_NDC_data!$B$6:$B$742,"2026")</f>
        <v>0</v>
      </c>
    </row>
    <row r="12" customFormat="false" ht="15" hidden="false" customHeight="false" outlineLevel="0" collapsed="false">
      <c r="A12" s="6" t="s">
        <v>654</v>
      </c>
      <c r="B12" s="23" t="n">
        <f aca="false">SUMIFS(SDUD_NDC_data!$G$6:$G$742,SDUD_NDC_data!$D$6:$D$742,"MPSS",SDUD_NDC_data!$C$6:$C$742,$A12,SDUD_NDC_data!$B$6:$B$742,"2018")</f>
        <v>141</v>
      </c>
      <c r="C12" s="23" t="n">
        <f aca="false">SUMIFS(SDUD_NDC_data!$G$6:$G$742,SDUD_NDC_data!$D$6:$D$742,"MPSS",SDUD_NDC_data!$C$6:$C$742,$A12,SDUD_NDC_data!$B$6:$B$742,"2019")</f>
        <v>111</v>
      </c>
      <c r="D12" s="23" t="n">
        <f aca="false">SUMIFS(SDUD_NDC_data!$G$6:$G$742,SDUD_NDC_data!$D$6:$D$742,"MPSS",SDUD_NDC_data!$C$6:$C$742,$A12,SDUD_NDC_data!$B$6:$B$742,"2020")</f>
        <v>46</v>
      </c>
      <c r="E12" s="23" t="n">
        <f aca="false">SUMIFS(SDUD_NDC_data!$G$6:$G$742,SDUD_NDC_data!$D$6:$D$742,"MPSS",SDUD_NDC_data!$C$6:$C$742,$A12,SDUD_NDC_data!$B$6:$B$742,"2021")</f>
        <v>0</v>
      </c>
      <c r="F12" s="23" t="n">
        <f aca="false">SUMIFS(SDUD_NDC_data!$G$6:$G$742,SDUD_NDC_data!$D$6:$D$742,"MPSS",SDUD_NDC_data!$C$6:$C$742,$A12,SDUD_NDC_data!$B$6:$B$742,"2022")</f>
        <v>0</v>
      </c>
      <c r="G12" s="23" t="n">
        <f aca="false">SUMIFS(SDUD_NDC_data!$G$6:$G$742,SDUD_NDC_data!$D$6:$D$742,"MPSS",SDUD_NDC_data!$C$6:$C$742,$A12,SDUD_NDC_data!$B$6:$B$742,"2023")</f>
        <v>0</v>
      </c>
      <c r="H12" s="23" t="n">
        <f aca="false">SUMIFS(SDUD_NDC_data!$G$6:$G$742,SDUD_NDC_data!$D$6:$D$742,"MPSS",SDUD_NDC_data!$C$6:$C$742,$A12,SDUD_NDC_data!$B$6:$B$742,"2024")</f>
        <v>0</v>
      </c>
      <c r="I12" s="23" t="n">
        <f aca="false">SUMIFS(SDUD_NDC_data!$G$6:$G$742,SDUD_NDC_data!$D$6:$D$742,"MPSS",SDUD_NDC_data!$C$6:$C$742,$A12,SDUD_NDC_data!$B$6:$B$742,"2025")</f>
        <v>0</v>
      </c>
      <c r="J12" s="23" t="n">
        <f aca="false">SUMIFS(SDUD_NDC_data!$G$6:$G$742,SDUD_NDC_data!$D$6:$D$742,"MPSS",SDUD_NDC_data!$C$6:$C$742,$A12,SDUD_NDC_data!$B$6:$B$742,"2026")</f>
        <v>0</v>
      </c>
    </row>
    <row r="13" customFormat="false" ht="15" hidden="false" customHeight="false" outlineLevel="0" collapsed="false">
      <c r="A13" s="6" t="s">
        <v>720</v>
      </c>
      <c r="B13" s="23" t="n">
        <f aca="false">SUMIFS(SDUD_NDC_data!$G$6:$G$742,SDUD_NDC_data!$D$6:$D$742,"MPSS",SDUD_NDC_data!$C$6:$C$742,$A13,SDUD_NDC_data!$B$6:$B$742,"2018")</f>
        <v>0</v>
      </c>
      <c r="C13" s="23" t="n">
        <f aca="false">SUMIFS(SDUD_NDC_data!$G$6:$G$742,SDUD_NDC_data!$D$6:$D$742,"MPSS",SDUD_NDC_data!$C$6:$C$742,$A13,SDUD_NDC_data!$B$6:$B$742,"2019")</f>
        <v>0</v>
      </c>
      <c r="D13" s="23" t="n">
        <f aca="false">SUMIFS(SDUD_NDC_data!$G$6:$G$742,SDUD_NDC_data!$D$6:$D$742,"MPSS",SDUD_NDC_data!$C$6:$C$742,$A13,SDUD_NDC_data!$B$6:$B$742,"2020")</f>
        <v>0</v>
      </c>
      <c r="E13" s="23" t="n">
        <f aca="false">SUMIFS(SDUD_NDC_data!$G$6:$G$742,SDUD_NDC_data!$D$6:$D$742,"MPSS",SDUD_NDC_data!$C$6:$C$742,$A13,SDUD_NDC_data!$B$6:$B$742,"2021")</f>
        <v>0</v>
      </c>
      <c r="F13" s="23" t="n">
        <f aca="false">SUMIFS(SDUD_NDC_data!$G$6:$G$742,SDUD_NDC_data!$D$6:$D$742,"MPSS",SDUD_NDC_data!$C$6:$C$742,$A13,SDUD_NDC_data!$B$6:$B$742,"2022")</f>
        <v>0</v>
      </c>
      <c r="G13" s="23" t="n">
        <f aca="false">SUMIFS(SDUD_NDC_data!$G$6:$G$742,SDUD_NDC_data!$D$6:$D$742,"MPSS",SDUD_NDC_data!$C$6:$C$742,$A13,SDUD_NDC_data!$B$6:$B$742,"2023")</f>
        <v>0</v>
      </c>
      <c r="H13" s="23" t="n">
        <f aca="false">SUMIFS(SDUD_NDC_data!$G$6:$G$742,SDUD_NDC_data!$D$6:$D$742,"MPSS",SDUD_NDC_data!$C$6:$C$742,$A13,SDUD_NDC_data!$B$6:$B$742,"2024")</f>
        <v>0</v>
      </c>
      <c r="I13" s="23" t="n">
        <f aca="false">SUMIFS(SDUD_NDC_data!$G$6:$G$742,SDUD_NDC_data!$D$6:$D$742,"MPSS",SDUD_NDC_data!$C$6:$C$742,$A13,SDUD_NDC_data!$B$6:$B$742,"2025")</f>
        <v>0</v>
      </c>
      <c r="J13" s="23" t="n">
        <f aca="false">SUMIFS(SDUD_NDC_data!$G$6:$G$742,SDUD_NDC_data!$D$6:$D$742,"MPSS",SDUD_NDC_data!$C$6:$C$742,$A13,SDUD_NDC_data!$B$6:$B$742,"2026")</f>
        <v>48</v>
      </c>
    </row>
    <row r="14" customFormat="false" ht="15" hidden="false" customHeight="false" outlineLevel="0" collapsed="false">
      <c r="A14" s="47" t="s">
        <v>726</v>
      </c>
      <c r="B14" s="48" t="n">
        <f aca="false">SUMIFS(SDUD_NDC_data!$G$6:$G$742,SDUD_NDC_data!$D$6:$D$742,"MPSS",SDUD_NDC_data!$B$6:$B$742,"2018")</f>
        <v>405536</v>
      </c>
      <c r="C14" s="48" t="n">
        <f aca="false">SUMIFS(SDUD_NDC_data!$G$6:$G$742,SDUD_NDC_data!$D$6:$D$742,"MPSS",SDUD_NDC_data!$B$6:$B$742,"2019")</f>
        <v>400672</v>
      </c>
      <c r="D14" s="48" t="n">
        <f aca="false">SUMIFS(SDUD_NDC_data!$G$6:$G$742,SDUD_NDC_data!$D$6:$D$742,"MPSS",SDUD_NDC_data!$B$6:$B$742,"2020")</f>
        <v>316151</v>
      </c>
      <c r="E14" s="48" t="n">
        <f aca="false">SUMIFS(SDUD_NDC_data!$G$6:$G$742,SDUD_NDC_data!$D$6:$D$742,"MPSS",SDUD_NDC_data!$B$6:$B$742,"2021")</f>
        <v>332579</v>
      </c>
      <c r="F14" s="48" t="n">
        <f aca="false">SUMIFS(SDUD_NDC_data!$G$6:$G$742,SDUD_NDC_data!$D$6:$D$742,"MPSS",SDUD_NDC_data!$B$6:$B$742,"2022")</f>
        <v>375088</v>
      </c>
      <c r="G14" s="48" t="n">
        <f aca="false">SUMIFS(SDUD_NDC_data!$G$6:$G$742,SDUD_NDC_data!$D$6:$D$742,"MPSS",SDUD_NDC_data!$B$6:$B$742,"2023")</f>
        <v>388561</v>
      </c>
      <c r="H14" s="48" t="n">
        <f aca="false">SUMIFS(SDUD_NDC_data!$G$6:$G$742,SDUD_NDC_data!$D$6:$D$742,"MPSS",SDUD_NDC_data!$B$6:$B$742,"2024")</f>
        <v>325433</v>
      </c>
      <c r="I14" s="48" t="n">
        <f aca="false">SUMIFS(SDUD_NDC_data!$G$6:$G$742,SDUD_NDC_data!$D$6:$D$742,"MPSS",SDUD_NDC_data!$B$6:$B$742,"2025")</f>
        <v>370268</v>
      </c>
      <c r="J14" s="48" t="n">
        <f aca="false">SUMIFS(SDUD_NDC_data!$G$6:$G$742,SDUD_NDC_data!$D$6:$D$742,"MPSS",SDUD_NDC_data!$B$6:$B$742,"2026")</f>
        <v>70931</v>
      </c>
    </row>
    <row r="15" customFormat="false" ht="15" hidden="false" customHeight="false" outlineLevel="0" collapsed="false">
      <c r="A15" s="39" t="s">
        <v>727</v>
      </c>
      <c r="B15" s="49" t="n">
        <f aca="false">SUM(B6:B13)-B14</f>
        <v>0</v>
      </c>
      <c r="C15" s="49" t="n">
        <f aca="false">SUM(C6:C13)-C14</f>
        <v>0</v>
      </c>
      <c r="D15" s="49" t="n">
        <f aca="false">SUM(D6:D13)-D14</f>
        <v>0</v>
      </c>
      <c r="E15" s="49" t="n">
        <f aca="false">SUM(E6:E13)-E14</f>
        <v>0</v>
      </c>
      <c r="F15" s="49" t="n">
        <f aca="false">SUM(F6:F13)-F14</f>
        <v>0</v>
      </c>
      <c r="G15" s="49" t="n">
        <f aca="false">SUM(G6:G13)-G14</f>
        <v>0</v>
      </c>
      <c r="H15" s="49" t="n">
        <f aca="false">SUM(H6:H13)-H14</f>
        <v>0</v>
      </c>
      <c r="I15" s="49" t="n">
        <f aca="false">SUM(I6:I13)-I14</f>
        <v>0</v>
      </c>
      <c r="J15" s="49" t="n">
        <f aca="false">SUM(J6:J13)-J14</f>
        <v>0</v>
      </c>
    </row>
    <row r="16" customFormat="false" ht="15" hidden="false" customHeight="false" outlineLevel="0" collapsed="false">
      <c r="A16" s="4" t="s">
        <v>728</v>
      </c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10" t="s">
        <v>725</v>
      </c>
      <c r="B17" s="10" t="s">
        <v>265</v>
      </c>
      <c r="C17" s="10" t="s">
        <v>278</v>
      </c>
      <c r="D17" s="10" t="s">
        <v>291</v>
      </c>
      <c r="E17" s="10" t="s">
        <v>304</v>
      </c>
      <c r="F17" s="10" t="s">
        <v>317</v>
      </c>
      <c r="G17" s="10" t="s">
        <v>330</v>
      </c>
      <c r="H17" s="10" t="s">
        <v>343</v>
      </c>
      <c r="I17" s="10" t="s">
        <v>356</v>
      </c>
      <c r="J17" s="10" t="s">
        <v>369</v>
      </c>
    </row>
    <row r="18" customFormat="false" ht="15" hidden="false" customHeight="false" outlineLevel="0" collapsed="false">
      <c r="A18" s="6" t="s">
        <v>586</v>
      </c>
      <c r="B18" s="40" t="n">
        <f aca="false">IF(B$14=0,0,B6/B$14)</f>
        <v>0.905806142981141</v>
      </c>
      <c r="C18" s="40" t="n">
        <f aca="false">IF(C$14=0,0,C6/C$14)</f>
        <v>0.900554568325214</v>
      </c>
      <c r="D18" s="40" t="n">
        <f aca="false">IF(D$14=0,0,D6/D$14)</f>
        <v>0.894079095115941</v>
      </c>
      <c r="E18" s="40" t="n">
        <f aca="false">IF(E$14=0,0,E6/E$14)</f>
        <v>0.867679558841659</v>
      </c>
      <c r="F18" s="40" t="n">
        <f aca="false">IF(F$14=0,0,F6/F$14)</f>
        <v>0.872520581836796</v>
      </c>
      <c r="G18" s="40" t="n">
        <f aca="false">IF(G$14=0,0,G6/G$14)</f>
        <v>0.817439218037837</v>
      </c>
      <c r="H18" s="40" t="n">
        <f aca="false">IF(H$14=0,0,H6/H$14)</f>
        <v>0.788721487986775</v>
      </c>
      <c r="I18" s="40" t="n">
        <f aca="false">IF(I$14=0,0,I6/I$14)</f>
        <v>0.750078321648104</v>
      </c>
      <c r="J18" s="40" t="n">
        <f aca="false">IF(J$14=0,0,J6/J$14)</f>
        <v>0.73791431109106</v>
      </c>
    </row>
    <row r="19" customFormat="false" ht="15" hidden="false" customHeight="false" outlineLevel="0" collapsed="false">
      <c r="A19" s="6" t="s">
        <v>704</v>
      </c>
      <c r="B19" s="40" t="n">
        <f aca="false">IF(B$14=0,0,B7/B$14)</f>
        <v>0.0879502682869092</v>
      </c>
      <c r="C19" s="40" t="n">
        <f aca="false">IF(C$14=0,0,C7/C$14)</f>
        <v>0.0934779570321859</v>
      </c>
      <c r="D19" s="40" t="n">
        <f aca="false">IF(D$14=0,0,D7/D$14)</f>
        <v>0.0985826393084317</v>
      </c>
      <c r="E19" s="40" t="n">
        <f aca="false">IF(E$14=0,0,E7/E$14)</f>
        <v>0.125672396633582</v>
      </c>
      <c r="F19" s="40" t="n">
        <f aca="false">IF(F$14=0,0,F7/F$14)</f>
        <v>0.117500426566566</v>
      </c>
      <c r="G19" s="40" t="n">
        <f aca="false">IF(G$14=0,0,G7/G$14)</f>
        <v>0.12506916545922</v>
      </c>
      <c r="H19" s="40" t="n">
        <f aca="false">IF(H$14=0,0,H7/H$14)</f>
        <v>0.112204355427999</v>
      </c>
      <c r="I19" s="40" t="n">
        <f aca="false">IF(I$14=0,0,I7/I$14)</f>
        <v>0.0872206077759893</v>
      </c>
      <c r="J19" s="40" t="n">
        <f aca="false">IF(J$14=0,0,J7/J$14)</f>
        <v>0.0606222949063174</v>
      </c>
    </row>
    <row r="20" customFormat="false" ht="15" hidden="false" customHeight="false" outlineLevel="0" collapsed="false">
      <c r="A20" s="6" t="s">
        <v>693</v>
      </c>
      <c r="B20" s="40" t="n">
        <f aca="false">IF(B$14=0,0,B8/B$14)</f>
        <v>0</v>
      </c>
      <c r="C20" s="40" t="n">
        <f aca="false">IF(C$14=0,0,C8/C$14)</f>
        <v>0</v>
      </c>
      <c r="D20" s="40" t="n">
        <f aca="false">IF(D$14=0,0,D8/D$14)</f>
        <v>0</v>
      </c>
      <c r="E20" s="40" t="n">
        <f aca="false">IF(E$14=0,0,E8/E$14)</f>
        <v>0</v>
      </c>
      <c r="F20" s="40" t="n">
        <f aca="false">IF(F$14=0,0,F8/F$14)</f>
        <v>0.00369246683444952</v>
      </c>
      <c r="G20" s="40" t="n">
        <f aca="false">IF(G$14=0,0,G8/G$14)</f>
        <v>0.0429404906822867</v>
      </c>
      <c r="H20" s="40" t="n">
        <f aca="false">IF(H$14=0,0,H8/H$14)</f>
        <v>0.0756192518890217</v>
      </c>
      <c r="I20" s="40" t="n">
        <f aca="false">IF(I$14=0,0,I8/I$14)</f>
        <v>0.123145937537135</v>
      </c>
      <c r="J20" s="40" t="n">
        <f aca="false">IF(J$14=0,0,J8/J$14)</f>
        <v>0.168840140418153</v>
      </c>
    </row>
    <row r="21" customFormat="false" ht="15" hidden="false" customHeight="false" outlineLevel="0" collapsed="false">
      <c r="A21" s="6" t="s">
        <v>648</v>
      </c>
      <c r="B21" s="40" t="n">
        <f aca="false">IF(B$14=0,0,B9/B$14)</f>
        <v>0</v>
      </c>
      <c r="C21" s="40" t="n">
        <f aca="false">IF(C$14=0,0,C9/C$14)</f>
        <v>0</v>
      </c>
      <c r="D21" s="40" t="n">
        <f aca="false">IF(D$14=0,0,D9/D$14)</f>
        <v>0.00191047948606837</v>
      </c>
      <c r="E21" s="40" t="n">
        <f aca="false">IF(E$14=0,0,E9/E$14)</f>
        <v>0.00243851836706467</v>
      </c>
      <c r="F21" s="40" t="n">
        <f aca="false">IF(F$14=0,0,F9/F$14)</f>
        <v>0.00215149511581282</v>
      </c>
      <c r="G21" s="40" t="n">
        <f aca="false">IF(G$14=0,0,G9/G$14)</f>
        <v>0.00859067173493995</v>
      </c>
      <c r="H21" s="40" t="n">
        <f aca="false">IF(H$14=0,0,H9/H$14)</f>
        <v>0.0212701231897195</v>
      </c>
      <c r="I21" s="40" t="n">
        <f aca="false">IF(I$14=0,0,I9/I$14)</f>
        <v>0.0394038912355375</v>
      </c>
      <c r="J21" s="40" t="n">
        <f aca="false">IF(J$14=0,0,J9/J$14)</f>
        <v>0.0317632628892868</v>
      </c>
    </row>
    <row r="22" customFormat="false" ht="15" hidden="false" customHeight="false" outlineLevel="0" collapsed="false">
      <c r="A22" s="6" t="s">
        <v>700</v>
      </c>
      <c r="B22" s="40" t="n">
        <f aca="false">IF(B$14=0,0,B10/B$14)</f>
        <v>0.00259409768799811</v>
      </c>
      <c r="C22" s="40" t="n">
        <f aca="false">IF(C$14=0,0,C10/C$14)</f>
        <v>0.00247584058781248</v>
      </c>
      <c r="D22" s="40" t="n">
        <f aca="false">IF(D$14=0,0,D10/D$14)</f>
        <v>0.0024450341767067</v>
      </c>
      <c r="E22" s="40" t="n">
        <f aca="false">IF(E$14=0,0,E10/E$14)</f>
        <v>0.00214986514482273</v>
      </c>
      <c r="F22" s="40" t="n">
        <f aca="false">IF(F$14=0,0,F10/F$14)</f>
        <v>0.00239410485006185</v>
      </c>
      <c r="G22" s="40" t="n">
        <f aca="false">IF(G$14=0,0,G10/G$14)</f>
        <v>0.00485380673819555</v>
      </c>
      <c r="H22" s="40" t="n">
        <f aca="false">IF(H$14=0,0,H10/H$14)</f>
        <v>0.00119533052886462</v>
      </c>
      <c r="I22" s="40" t="n">
        <f aca="false">IF(I$14=0,0,I10/I$14)</f>
        <v>7.02194086445494E-005</v>
      </c>
      <c r="J22" s="40" t="n">
        <f aca="false">IF(J$14=0,0,J10/J$14)</f>
        <v>0.000183276705530727</v>
      </c>
    </row>
    <row r="23" customFormat="false" ht="15" hidden="false" customHeight="false" outlineLevel="0" collapsed="false">
      <c r="A23" s="6" t="s">
        <v>684</v>
      </c>
      <c r="B23" s="40" t="n">
        <f aca="false">IF(B$14=0,0,B11/B$14)</f>
        <v>0.0033018030458455</v>
      </c>
      <c r="C23" s="40" t="n">
        <f aca="false">IF(C$14=0,0,C11/C$14)</f>
        <v>0.00321459947288555</v>
      </c>
      <c r="D23" s="40" t="n">
        <f aca="false">IF(D$14=0,0,D11/D$14)</f>
        <v>0.00283725181954193</v>
      </c>
      <c r="E23" s="40" t="n">
        <f aca="false">IF(E$14=0,0,E11/E$14)</f>
        <v>0.00205966101287213</v>
      </c>
      <c r="F23" s="40" t="n">
        <f aca="false">IF(F$14=0,0,F11/F$14)</f>
        <v>0.00174092479631447</v>
      </c>
      <c r="G23" s="40" t="n">
        <f aca="false">IF(G$14=0,0,G11/G$14)</f>
        <v>0.00110664734752072</v>
      </c>
      <c r="H23" s="40" t="n">
        <f aca="false">IF(H$14=0,0,H11/H$14)</f>
        <v>0.000989450977620585</v>
      </c>
      <c r="I23" s="40" t="n">
        <f aca="false">IF(I$14=0,0,I11/I$14)</f>
        <v>8.10223945898646E-005</v>
      </c>
      <c r="J23" s="40" t="n">
        <f aca="false">IF(J$14=0,0,J11/J$14)</f>
        <v>0</v>
      </c>
    </row>
    <row r="24" customFormat="false" ht="15" hidden="false" customHeight="false" outlineLevel="0" collapsed="false">
      <c r="A24" s="6" t="s">
        <v>654</v>
      </c>
      <c r="B24" s="40" t="n">
        <f aca="false">IF(B$14=0,0,B12/B$14)</f>
        <v>0.00034768799810621</v>
      </c>
      <c r="C24" s="40" t="n">
        <f aca="false">IF(C$14=0,0,C12/C$14)</f>
        <v>0.000277034581902404</v>
      </c>
      <c r="D24" s="40" t="n">
        <f aca="false">IF(D$14=0,0,D12/D$14)</f>
        <v>0.000145500093309842</v>
      </c>
      <c r="E24" s="40" t="n">
        <f aca="false">IF(E$14=0,0,E12/E$14)</f>
        <v>0</v>
      </c>
      <c r="F24" s="40" t="n">
        <f aca="false">IF(F$14=0,0,F12/F$14)</f>
        <v>0</v>
      </c>
      <c r="G24" s="40" t="n">
        <f aca="false">IF(G$14=0,0,G12/G$14)</f>
        <v>0</v>
      </c>
      <c r="H24" s="40" t="n">
        <f aca="false">IF(H$14=0,0,H12/H$14)</f>
        <v>0</v>
      </c>
      <c r="I24" s="40" t="n">
        <f aca="false">IF(I$14=0,0,I12/I$14)</f>
        <v>0</v>
      </c>
      <c r="J24" s="40" t="n">
        <f aca="false">IF(J$14=0,0,J12/J$14)</f>
        <v>0</v>
      </c>
    </row>
    <row r="25" customFormat="false" ht="15" hidden="false" customHeight="false" outlineLevel="0" collapsed="false">
      <c r="A25" s="6" t="s">
        <v>720</v>
      </c>
      <c r="B25" s="40" t="n">
        <f aca="false">IF(B$14=0,0,B13/B$14)</f>
        <v>0</v>
      </c>
      <c r="C25" s="40" t="n">
        <f aca="false">IF(C$14=0,0,C13/C$14)</f>
        <v>0</v>
      </c>
      <c r="D25" s="40" t="n">
        <f aca="false">IF(D$14=0,0,D13/D$14)</f>
        <v>0</v>
      </c>
      <c r="E25" s="40" t="n">
        <f aca="false">IF(E$14=0,0,E13/E$14)</f>
        <v>0</v>
      </c>
      <c r="F25" s="40" t="n">
        <f aca="false">IF(F$14=0,0,F13/F$14)</f>
        <v>0</v>
      </c>
      <c r="G25" s="40" t="n">
        <f aca="false">IF(G$14=0,0,G13/G$14)</f>
        <v>0</v>
      </c>
      <c r="H25" s="40" t="n">
        <f aca="false">IF(H$14=0,0,H13/H$14)</f>
        <v>0</v>
      </c>
      <c r="I25" s="40" t="n">
        <f aca="false">IF(I$14=0,0,I13/I$14)</f>
        <v>0</v>
      </c>
      <c r="J25" s="40" t="n">
        <f aca="false">IF(J$14=0,0,J13/J$14)</f>
        <v>0.000676713989651915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4" t="s">
        <v>729</v>
      </c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10" t="s">
        <v>725</v>
      </c>
      <c r="B29" s="10" t="s">
        <v>265</v>
      </c>
      <c r="C29" s="10" t="s">
        <v>278</v>
      </c>
      <c r="D29" s="10" t="s">
        <v>291</v>
      </c>
      <c r="E29" s="10" t="s">
        <v>304</v>
      </c>
      <c r="F29" s="10" t="s">
        <v>317</v>
      </c>
      <c r="G29" s="10" t="s">
        <v>330</v>
      </c>
      <c r="H29" s="10" t="s">
        <v>343</v>
      </c>
      <c r="I29" s="10" t="s">
        <v>356</v>
      </c>
      <c r="J29" s="10" t="s">
        <v>369</v>
      </c>
    </row>
    <row r="30" customFormat="false" ht="15" hidden="false" customHeight="false" outlineLevel="0" collapsed="false">
      <c r="A30" s="6" t="s">
        <v>586</v>
      </c>
      <c r="B30" s="23" t="n">
        <f aca="false">SUMIFS(SDUD_NDC_data!$G$6:$G$742,SDUD_NDC_data!$D$6:$D$742,"HSS",SDUD_NDC_data!$C$6:$C$742,$A30,SDUD_NDC_data!$B$6:$B$742,"2018")</f>
        <v>34702</v>
      </c>
      <c r="C30" s="23" t="n">
        <f aca="false">SUMIFS(SDUD_NDC_data!$G$6:$G$742,SDUD_NDC_data!$D$6:$D$742,"HSS",SDUD_NDC_data!$C$6:$C$742,$A30,SDUD_NDC_data!$B$6:$B$742,"2019")</f>
        <v>38160</v>
      </c>
      <c r="D30" s="23" t="n">
        <f aca="false">SUMIFS(SDUD_NDC_data!$G$6:$G$742,SDUD_NDC_data!$D$6:$D$742,"HSS",SDUD_NDC_data!$C$6:$C$742,$A30,SDUD_NDC_data!$B$6:$B$742,"2020")</f>
        <v>37053</v>
      </c>
      <c r="E30" s="23" t="n">
        <f aca="false">SUMIFS(SDUD_NDC_data!$G$6:$G$742,SDUD_NDC_data!$D$6:$D$742,"HSS",SDUD_NDC_data!$C$6:$C$742,$A30,SDUD_NDC_data!$B$6:$B$742,"2021")</f>
        <v>40478</v>
      </c>
      <c r="F30" s="23" t="n">
        <f aca="false">SUMIFS(SDUD_NDC_data!$G$6:$G$742,SDUD_NDC_data!$D$6:$D$742,"HSS",SDUD_NDC_data!$C$6:$C$742,$A30,SDUD_NDC_data!$B$6:$B$742,"2022")</f>
        <v>42706</v>
      </c>
      <c r="G30" s="23" t="n">
        <f aca="false">SUMIFS(SDUD_NDC_data!$G$6:$G$742,SDUD_NDC_data!$D$6:$D$742,"HSS",SDUD_NDC_data!$C$6:$C$742,$A30,SDUD_NDC_data!$B$6:$B$742,"2023")</f>
        <v>35759</v>
      </c>
      <c r="H30" s="23" t="n">
        <f aca="false">SUMIFS(SDUD_NDC_data!$G$6:$G$742,SDUD_NDC_data!$D$6:$D$742,"HSS",SDUD_NDC_data!$C$6:$C$742,$A30,SDUD_NDC_data!$B$6:$B$742,"2024")</f>
        <v>37111</v>
      </c>
      <c r="I30" s="23" t="n">
        <f aca="false">SUMIFS(SDUD_NDC_data!$G$6:$G$742,SDUD_NDC_data!$D$6:$D$742,"HSS",SDUD_NDC_data!$C$6:$C$742,$A30,SDUD_NDC_data!$B$6:$B$742,"2025")</f>
        <v>35293</v>
      </c>
      <c r="J30" s="23" t="n">
        <f aca="false">SUMIFS(SDUD_NDC_data!$G$6:$G$742,SDUD_NDC_data!$D$6:$D$742,"HSS",SDUD_NDC_data!$C$6:$C$742,$A30,SDUD_NDC_data!$B$6:$B$742,"2026")</f>
        <v>7327</v>
      </c>
    </row>
    <row r="31" customFormat="false" ht="15" hidden="false" customHeight="false" outlineLevel="0" collapsed="false">
      <c r="A31" s="6" t="s">
        <v>708</v>
      </c>
      <c r="B31" s="23" t="n">
        <f aca="false">SUMIFS(SDUD_NDC_data!$G$6:$G$742,SDUD_NDC_data!$D$6:$D$742,"HSS",SDUD_NDC_data!$C$6:$C$742,$A31,SDUD_NDC_data!$B$6:$B$742,"2018")</f>
        <v>0</v>
      </c>
      <c r="C31" s="23" t="n">
        <f aca="false">SUMIFS(SDUD_NDC_data!$G$6:$G$742,SDUD_NDC_data!$D$6:$D$742,"HSS",SDUD_NDC_data!$C$6:$C$742,$A31,SDUD_NDC_data!$B$6:$B$742,"2019")</f>
        <v>0</v>
      </c>
      <c r="D31" s="23" t="n">
        <f aca="false">SUMIFS(SDUD_NDC_data!$G$6:$G$742,SDUD_NDC_data!$D$6:$D$742,"HSS",SDUD_NDC_data!$C$6:$C$742,$A31,SDUD_NDC_data!$B$6:$B$742,"2020")</f>
        <v>0</v>
      </c>
      <c r="E31" s="23" t="n">
        <f aca="false">SUMIFS(SDUD_NDC_data!$G$6:$G$742,SDUD_NDC_data!$D$6:$D$742,"HSS",SDUD_NDC_data!$C$6:$C$742,$A31,SDUD_NDC_data!$B$6:$B$742,"2021")</f>
        <v>0</v>
      </c>
      <c r="F31" s="23" t="n">
        <f aca="false">SUMIFS(SDUD_NDC_data!$G$6:$G$742,SDUD_NDC_data!$D$6:$D$742,"HSS",SDUD_NDC_data!$C$6:$C$742,$A31,SDUD_NDC_data!$B$6:$B$742,"2022")</f>
        <v>0</v>
      </c>
      <c r="G31" s="23" t="n">
        <f aca="false">SUMIFS(SDUD_NDC_data!$G$6:$G$742,SDUD_NDC_data!$D$6:$D$742,"HSS",SDUD_NDC_data!$C$6:$C$742,$A31,SDUD_NDC_data!$B$6:$B$742,"2023")</f>
        <v>0</v>
      </c>
      <c r="H31" s="23" t="n">
        <f aca="false">SUMIFS(SDUD_NDC_data!$G$6:$G$742,SDUD_NDC_data!$D$6:$D$742,"HSS",SDUD_NDC_data!$C$6:$C$742,$A31,SDUD_NDC_data!$B$6:$B$742,"2024")</f>
        <v>131</v>
      </c>
      <c r="I31" s="23" t="n">
        <f aca="false">SUMIFS(SDUD_NDC_data!$G$6:$G$742,SDUD_NDC_data!$D$6:$D$742,"HSS",SDUD_NDC_data!$C$6:$C$742,$A31,SDUD_NDC_data!$B$6:$B$742,"2025")</f>
        <v>2010</v>
      </c>
      <c r="J31" s="23" t="n">
        <f aca="false">SUMIFS(SDUD_NDC_data!$G$6:$G$742,SDUD_NDC_data!$D$6:$D$742,"HSS",SDUD_NDC_data!$C$6:$C$742,$A31,SDUD_NDC_data!$B$6:$B$742,"2026")</f>
        <v>533</v>
      </c>
    </row>
    <row r="32" customFormat="false" ht="15" hidden="false" customHeight="false" outlineLevel="0" collapsed="false">
      <c r="A32" s="6" t="s">
        <v>654</v>
      </c>
      <c r="B32" s="23" t="n">
        <f aca="false">SUMIFS(SDUD_NDC_data!$G$6:$G$742,SDUD_NDC_data!$D$6:$D$742,"HSS",SDUD_NDC_data!$C$6:$C$742,$A32,SDUD_NDC_data!$B$6:$B$742,"2018")</f>
        <v>64</v>
      </c>
      <c r="C32" s="23" t="n">
        <f aca="false">SUMIFS(SDUD_NDC_data!$G$6:$G$742,SDUD_NDC_data!$D$6:$D$742,"HSS",SDUD_NDC_data!$C$6:$C$742,$A32,SDUD_NDC_data!$B$6:$B$742,"2019")</f>
        <v>25</v>
      </c>
      <c r="D32" s="23" t="n">
        <f aca="false">SUMIFS(SDUD_NDC_data!$G$6:$G$742,SDUD_NDC_data!$D$6:$D$742,"HSS",SDUD_NDC_data!$C$6:$C$742,$A32,SDUD_NDC_data!$B$6:$B$742,"2020")</f>
        <v>58</v>
      </c>
      <c r="E32" s="23" t="n">
        <f aca="false">SUMIFS(SDUD_NDC_data!$G$6:$G$742,SDUD_NDC_data!$D$6:$D$742,"HSS",SDUD_NDC_data!$C$6:$C$742,$A32,SDUD_NDC_data!$B$6:$B$742,"2021")</f>
        <v>13</v>
      </c>
      <c r="F32" s="23" t="n">
        <f aca="false">SUMIFS(SDUD_NDC_data!$G$6:$G$742,SDUD_NDC_data!$D$6:$D$742,"HSS",SDUD_NDC_data!$C$6:$C$742,$A32,SDUD_NDC_data!$B$6:$B$742,"2022")</f>
        <v>0</v>
      </c>
      <c r="G32" s="23" t="n">
        <f aca="false">SUMIFS(SDUD_NDC_data!$G$6:$G$742,SDUD_NDC_data!$D$6:$D$742,"HSS",SDUD_NDC_data!$C$6:$C$742,$A32,SDUD_NDC_data!$B$6:$B$742,"2023")</f>
        <v>0</v>
      </c>
      <c r="H32" s="23" t="n">
        <f aca="false">SUMIFS(SDUD_NDC_data!$G$6:$G$742,SDUD_NDC_data!$D$6:$D$742,"HSS",SDUD_NDC_data!$C$6:$C$742,$A32,SDUD_NDC_data!$B$6:$B$742,"2024")</f>
        <v>0</v>
      </c>
      <c r="I32" s="23" t="n">
        <f aca="false">SUMIFS(SDUD_NDC_data!$G$6:$G$742,SDUD_NDC_data!$D$6:$D$742,"HSS",SDUD_NDC_data!$C$6:$C$742,$A32,SDUD_NDC_data!$B$6:$B$742,"2025")</f>
        <v>0</v>
      </c>
      <c r="J32" s="23" t="n">
        <f aca="false">SUMIFS(SDUD_NDC_data!$G$6:$G$742,SDUD_NDC_data!$D$6:$D$742,"HSS",SDUD_NDC_data!$C$6:$C$742,$A32,SDUD_NDC_data!$B$6:$B$742,"2026")</f>
        <v>0</v>
      </c>
    </row>
    <row r="33" customFormat="false" ht="15" hidden="false" customHeight="false" outlineLevel="0" collapsed="false">
      <c r="A33" s="47" t="s">
        <v>726</v>
      </c>
      <c r="B33" s="48" t="n">
        <f aca="false">SUMIFS(SDUD_NDC_data!$G$6:$G$742,SDUD_NDC_data!$D$6:$D$742,"HSS",SDUD_NDC_data!$B$6:$B$742,"2018")</f>
        <v>34766</v>
      </c>
      <c r="C33" s="48" t="n">
        <f aca="false">SUMIFS(SDUD_NDC_data!$G$6:$G$742,SDUD_NDC_data!$D$6:$D$742,"HSS",SDUD_NDC_data!$B$6:$B$742,"2019")</f>
        <v>38185</v>
      </c>
      <c r="D33" s="48" t="n">
        <f aca="false">SUMIFS(SDUD_NDC_data!$G$6:$G$742,SDUD_NDC_data!$D$6:$D$742,"HSS",SDUD_NDC_data!$B$6:$B$742,"2020")</f>
        <v>37111</v>
      </c>
      <c r="E33" s="48" t="n">
        <f aca="false">SUMIFS(SDUD_NDC_data!$G$6:$G$742,SDUD_NDC_data!$D$6:$D$742,"HSS",SDUD_NDC_data!$B$6:$B$742,"2021")</f>
        <v>40491</v>
      </c>
      <c r="F33" s="48" t="n">
        <f aca="false">SUMIFS(SDUD_NDC_data!$G$6:$G$742,SDUD_NDC_data!$D$6:$D$742,"HSS",SDUD_NDC_data!$B$6:$B$742,"2022")</f>
        <v>42706</v>
      </c>
      <c r="G33" s="48" t="n">
        <f aca="false">SUMIFS(SDUD_NDC_data!$G$6:$G$742,SDUD_NDC_data!$D$6:$D$742,"HSS",SDUD_NDC_data!$B$6:$B$742,"2023")</f>
        <v>35759</v>
      </c>
      <c r="H33" s="48" t="n">
        <f aca="false">SUMIFS(SDUD_NDC_data!$G$6:$G$742,SDUD_NDC_data!$D$6:$D$742,"HSS",SDUD_NDC_data!$B$6:$B$742,"2024")</f>
        <v>37242</v>
      </c>
      <c r="I33" s="48" t="n">
        <f aca="false">SUMIFS(SDUD_NDC_data!$G$6:$G$742,SDUD_NDC_data!$D$6:$D$742,"HSS",SDUD_NDC_data!$B$6:$B$742,"2025")</f>
        <v>37303</v>
      </c>
      <c r="J33" s="48" t="n">
        <f aca="false">SUMIFS(SDUD_NDC_data!$G$6:$G$742,SDUD_NDC_data!$D$6:$D$742,"HSS",SDUD_NDC_data!$B$6:$B$742,"2026")</f>
        <v>7860</v>
      </c>
    </row>
    <row r="34" customFormat="false" ht="15" hidden="false" customHeight="false" outlineLevel="0" collapsed="false">
      <c r="A34" s="39" t="s">
        <v>727</v>
      </c>
      <c r="B34" s="49" t="n">
        <f aca="false">SUM(B30:B32)-B33</f>
        <v>0</v>
      </c>
      <c r="C34" s="49" t="n">
        <f aca="false">SUM(C30:C32)-C33</f>
        <v>0</v>
      </c>
      <c r="D34" s="49" t="n">
        <f aca="false">SUM(D30:D32)-D33</f>
        <v>0</v>
      </c>
      <c r="E34" s="49" t="n">
        <f aca="false">SUM(E30:E32)-E33</f>
        <v>0</v>
      </c>
      <c r="F34" s="49" t="n">
        <f aca="false">SUM(F30:F32)-F33</f>
        <v>0</v>
      </c>
      <c r="G34" s="49" t="n">
        <f aca="false">SUM(G30:G32)-G33</f>
        <v>0</v>
      </c>
      <c r="H34" s="49" t="n">
        <f aca="false">SUM(H30:H32)-H33</f>
        <v>0</v>
      </c>
      <c r="I34" s="49" t="n">
        <f aca="false">SUM(I30:I32)-I33</f>
        <v>0</v>
      </c>
      <c r="J34" s="49" t="n">
        <f aca="false">SUM(J30:J32)-J33</f>
        <v>0</v>
      </c>
    </row>
    <row r="35" customFormat="false" ht="15" hidden="false" customHeight="false" outlineLevel="0" collapsed="false">
      <c r="A35" s="4" t="s">
        <v>730</v>
      </c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10" t="s">
        <v>725</v>
      </c>
      <c r="B36" s="10" t="s">
        <v>265</v>
      </c>
      <c r="C36" s="10" t="s">
        <v>278</v>
      </c>
      <c r="D36" s="10" t="s">
        <v>291</v>
      </c>
      <c r="E36" s="10" t="s">
        <v>304</v>
      </c>
      <c r="F36" s="10" t="s">
        <v>317</v>
      </c>
      <c r="G36" s="10" t="s">
        <v>330</v>
      </c>
      <c r="H36" s="10" t="s">
        <v>343</v>
      </c>
      <c r="I36" s="10" t="s">
        <v>356</v>
      </c>
      <c r="J36" s="10" t="s">
        <v>369</v>
      </c>
    </row>
    <row r="37" customFormat="false" ht="15" hidden="false" customHeight="false" outlineLevel="0" collapsed="false">
      <c r="A37" s="6" t="s">
        <v>586</v>
      </c>
      <c r="B37" s="40" t="n">
        <f aca="false">IF(B$33=0,0,B30/B$33)</f>
        <v>0.998159120980268</v>
      </c>
      <c r="C37" s="40" t="n">
        <f aca="false">IF(C$33=0,0,C30/C$33)</f>
        <v>0.999345292654184</v>
      </c>
      <c r="D37" s="40" t="n">
        <f aca="false">IF(D$33=0,0,D30/D$33)</f>
        <v>0.998437121069225</v>
      </c>
      <c r="E37" s="40" t="n">
        <f aca="false">IF(E$33=0,0,E30/E$33)</f>
        <v>0.999678940999234</v>
      </c>
      <c r="F37" s="40" t="n">
        <f aca="false">IF(F$33=0,0,F30/F$33)</f>
        <v>1</v>
      </c>
      <c r="G37" s="40" t="n">
        <f aca="false">IF(G$33=0,0,G30/G$33)</f>
        <v>1</v>
      </c>
      <c r="H37" s="40" t="n">
        <f aca="false">IF(H$33=0,0,H30/H$33)</f>
        <v>0.996482466032974</v>
      </c>
      <c r="I37" s="40" t="n">
        <f aca="false">IF(I$33=0,0,I30/I$33)</f>
        <v>0.946116934294829</v>
      </c>
      <c r="J37" s="40" t="n">
        <f aca="false">IF(J$33=0,0,J30/J$33)</f>
        <v>0.932188295165394</v>
      </c>
    </row>
    <row r="38" customFormat="false" ht="15" hidden="false" customHeight="false" outlineLevel="0" collapsed="false">
      <c r="A38" s="6" t="s">
        <v>708</v>
      </c>
      <c r="B38" s="40" t="n">
        <f aca="false">IF(B$33=0,0,B31/B$33)</f>
        <v>0</v>
      </c>
      <c r="C38" s="40" t="n">
        <f aca="false">IF(C$33=0,0,C31/C$33)</f>
        <v>0</v>
      </c>
      <c r="D38" s="40" t="n">
        <f aca="false">IF(D$33=0,0,D31/D$33)</f>
        <v>0</v>
      </c>
      <c r="E38" s="40" t="n">
        <f aca="false">IF(E$33=0,0,E31/E$33)</f>
        <v>0</v>
      </c>
      <c r="F38" s="40" t="n">
        <f aca="false">IF(F$33=0,0,F31/F$33)</f>
        <v>0</v>
      </c>
      <c r="G38" s="40" t="n">
        <f aca="false">IF(G$33=0,0,G31/G$33)</f>
        <v>0</v>
      </c>
      <c r="H38" s="40" t="n">
        <f aca="false">IF(H$33=0,0,H31/H$33)</f>
        <v>0.00351753396702648</v>
      </c>
      <c r="I38" s="40" t="n">
        <f aca="false">IF(I$33=0,0,I31/I$33)</f>
        <v>0.0538830657051712</v>
      </c>
      <c r="J38" s="40" t="n">
        <f aca="false">IF(J$33=0,0,J31/J$33)</f>
        <v>0.0678117048346056</v>
      </c>
    </row>
    <row r="39" customFormat="false" ht="15" hidden="false" customHeight="false" outlineLevel="0" collapsed="false">
      <c r="A39" s="6" t="s">
        <v>654</v>
      </c>
      <c r="B39" s="40" t="n">
        <f aca="false">IF(B$33=0,0,B32/B$33)</f>
        <v>0.00184087901973192</v>
      </c>
      <c r="C39" s="40" t="n">
        <f aca="false">IF(C$33=0,0,C32/C$33)</f>
        <v>0.00065470734581642</v>
      </c>
      <c r="D39" s="40" t="n">
        <f aca="false">IF(D$33=0,0,D32/D$33)</f>
        <v>0.00156287893077524</v>
      </c>
      <c r="E39" s="40" t="n">
        <f aca="false">IF(E$33=0,0,E32/E$33)</f>
        <v>0.000321059000765602</v>
      </c>
      <c r="F39" s="40" t="n">
        <f aca="false">IF(F$33=0,0,F32/F$33)</f>
        <v>0</v>
      </c>
      <c r="G39" s="40" t="n">
        <f aca="false">IF(G$33=0,0,G32/G$33)</f>
        <v>0</v>
      </c>
      <c r="H39" s="40" t="n">
        <f aca="false">IF(H$33=0,0,H32/H$33)</f>
        <v>0</v>
      </c>
      <c r="I39" s="40" t="n">
        <f aca="false">IF(I$33=0,0,I32/I$33)</f>
        <v>0</v>
      </c>
      <c r="J39" s="40" t="n">
        <f aca="false">IF(J$33=0,0,J32/J$33)</f>
        <v>0</v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15" hidden="false" customHeight="false" outlineLevel="0" collapsed="false">
      <c r="A42" s="4" t="s">
        <v>731</v>
      </c>
      <c r="B42" s="2"/>
      <c r="C42" s="2"/>
      <c r="D42" s="2"/>
      <c r="E42" s="2"/>
      <c r="F42" s="2"/>
      <c r="G42" s="2"/>
      <c r="H42" s="2"/>
      <c r="I42" s="2"/>
      <c r="J42" s="2"/>
    </row>
    <row r="43" customFormat="false" ht="15" hidden="false" customHeight="false" outlineLevel="0" collapsed="false">
      <c r="A43" s="10" t="s">
        <v>725</v>
      </c>
      <c r="B43" s="10" t="s">
        <v>265</v>
      </c>
      <c r="C43" s="10" t="s">
        <v>278</v>
      </c>
      <c r="D43" s="10" t="s">
        <v>291</v>
      </c>
      <c r="E43" s="10" t="s">
        <v>304</v>
      </c>
      <c r="F43" s="10" t="s">
        <v>317</v>
      </c>
      <c r="G43" s="10" t="s">
        <v>330</v>
      </c>
      <c r="H43" s="10" t="s">
        <v>343</v>
      </c>
      <c r="I43" s="10" t="s">
        <v>356</v>
      </c>
      <c r="J43" s="10" t="s">
        <v>369</v>
      </c>
    </row>
    <row r="44" customFormat="false" ht="15" hidden="false" customHeight="false" outlineLevel="0" collapsed="false">
      <c r="A44" s="6" t="s">
        <v>586</v>
      </c>
      <c r="B44" s="23" t="n">
        <f aca="false">SUMIFS(SDUD_NDC_data!$G$6:$G$742,SDUD_NDC_data!$D$6:$D$742,"MPA",SDUD_NDC_data!$C$6:$C$742,$A44,SDUD_NDC_data!$B$6:$B$742,"2018")</f>
        <v>809490</v>
      </c>
      <c r="C44" s="23" t="n">
        <f aca="false">SUMIFS(SDUD_NDC_data!$G$6:$G$742,SDUD_NDC_data!$D$6:$D$742,"MPA",SDUD_NDC_data!$C$6:$C$742,$A44,SDUD_NDC_data!$B$6:$B$742,"2019")</f>
        <v>729236</v>
      </c>
      <c r="D44" s="23" t="n">
        <f aca="false">SUMIFS(SDUD_NDC_data!$G$6:$G$742,SDUD_NDC_data!$D$6:$D$742,"MPA",SDUD_NDC_data!$C$6:$C$742,$A44,SDUD_NDC_data!$B$6:$B$742,"2020")</f>
        <v>616634</v>
      </c>
      <c r="E44" s="23" t="n">
        <f aca="false">SUMIFS(SDUD_NDC_data!$G$6:$G$742,SDUD_NDC_data!$D$6:$D$742,"MPA",SDUD_NDC_data!$C$6:$C$742,$A44,SDUD_NDC_data!$B$6:$B$742,"2021")</f>
        <v>584491</v>
      </c>
      <c r="F44" s="23" t="n">
        <f aca="false">SUMIFS(SDUD_NDC_data!$G$6:$G$742,SDUD_NDC_data!$D$6:$D$742,"MPA",SDUD_NDC_data!$C$6:$C$742,$A44,SDUD_NDC_data!$B$6:$B$742,"2022")</f>
        <v>342286</v>
      </c>
      <c r="G44" s="23" t="n">
        <f aca="false">SUMIFS(SDUD_NDC_data!$G$6:$G$742,SDUD_NDC_data!$D$6:$D$742,"MPA",SDUD_NDC_data!$C$6:$C$742,$A44,SDUD_NDC_data!$B$6:$B$742,"2023")</f>
        <v>398075</v>
      </c>
      <c r="H44" s="23" t="n">
        <f aca="false">SUMIFS(SDUD_NDC_data!$G$6:$G$742,SDUD_NDC_data!$D$6:$D$742,"MPA",SDUD_NDC_data!$C$6:$C$742,$A44,SDUD_NDC_data!$B$6:$B$742,"2024")</f>
        <v>300636</v>
      </c>
      <c r="I44" s="23" t="n">
        <f aca="false">SUMIFS(SDUD_NDC_data!$G$6:$G$742,SDUD_NDC_data!$D$6:$D$742,"MPA",SDUD_NDC_data!$C$6:$C$742,$A44,SDUD_NDC_data!$B$6:$B$742,"2025")</f>
        <v>319559</v>
      </c>
      <c r="J44" s="23" t="n">
        <f aca="false">SUMIFS(SDUD_NDC_data!$G$6:$G$742,SDUD_NDC_data!$D$6:$D$742,"MPA",SDUD_NDC_data!$C$6:$C$742,$A44,SDUD_NDC_data!$B$6:$B$742,"2026")</f>
        <v>62980</v>
      </c>
    </row>
    <row r="45" customFormat="false" ht="15" hidden="false" customHeight="false" outlineLevel="0" collapsed="false">
      <c r="A45" s="6" t="s">
        <v>660</v>
      </c>
      <c r="B45" s="23" t="n">
        <f aca="false">SUMIFS(SDUD_NDC_data!$G$6:$G$742,SDUD_NDC_data!$D$6:$D$742,"MPA",SDUD_NDC_data!$C$6:$C$742,$A45,SDUD_NDC_data!$B$6:$B$742,"2018")</f>
        <v>100556</v>
      </c>
      <c r="C45" s="23" t="n">
        <f aca="false">SUMIFS(SDUD_NDC_data!$G$6:$G$742,SDUD_NDC_data!$D$6:$D$742,"MPA",SDUD_NDC_data!$C$6:$C$742,$A45,SDUD_NDC_data!$B$6:$B$742,"2019")</f>
        <v>177921</v>
      </c>
      <c r="D45" s="23" t="n">
        <f aca="false">SUMIFS(SDUD_NDC_data!$G$6:$G$742,SDUD_NDC_data!$D$6:$D$742,"MPA",SDUD_NDC_data!$C$6:$C$742,$A45,SDUD_NDC_data!$B$6:$B$742,"2020")</f>
        <v>192916</v>
      </c>
      <c r="E45" s="23" t="n">
        <f aca="false">SUMIFS(SDUD_NDC_data!$G$6:$G$742,SDUD_NDC_data!$D$6:$D$742,"MPA",SDUD_NDC_data!$C$6:$C$742,$A45,SDUD_NDC_data!$B$6:$B$742,"2021")</f>
        <v>234736</v>
      </c>
      <c r="F45" s="23" t="n">
        <f aca="false">SUMIFS(SDUD_NDC_data!$G$6:$G$742,SDUD_NDC_data!$D$6:$D$742,"MPA",SDUD_NDC_data!$C$6:$C$742,$A45,SDUD_NDC_data!$B$6:$B$742,"2022")</f>
        <v>107225</v>
      </c>
      <c r="G45" s="23" t="n">
        <f aca="false">SUMIFS(SDUD_NDC_data!$G$6:$G$742,SDUD_NDC_data!$D$6:$D$742,"MPA",SDUD_NDC_data!$C$6:$C$742,$A45,SDUD_NDC_data!$B$6:$B$742,"2023")</f>
        <v>59479</v>
      </c>
      <c r="H45" s="23" t="n">
        <f aca="false">SUMIFS(SDUD_NDC_data!$G$6:$G$742,SDUD_NDC_data!$D$6:$D$742,"MPA",SDUD_NDC_data!$C$6:$C$742,$A45,SDUD_NDC_data!$B$6:$B$742,"2024")</f>
        <v>4094</v>
      </c>
      <c r="I45" s="23" t="n">
        <f aca="false">SUMIFS(SDUD_NDC_data!$G$6:$G$742,SDUD_NDC_data!$D$6:$D$742,"MPA",SDUD_NDC_data!$C$6:$C$742,$A45,SDUD_NDC_data!$B$6:$B$742,"2025")</f>
        <v>263</v>
      </c>
      <c r="J45" s="23" t="n">
        <f aca="false">SUMIFS(SDUD_NDC_data!$G$6:$G$742,SDUD_NDC_data!$D$6:$D$742,"MPA",SDUD_NDC_data!$C$6:$C$742,$A45,SDUD_NDC_data!$B$6:$B$742,"2026")</f>
        <v>43</v>
      </c>
    </row>
    <row r="46" customFormat="false" ht="15" hidden="false" customHeight="false" outlineLevel="0" collapsed="false">
      <c r="A46" s="6" t="s">
        <v>700</v>
      </c>
      <c r="B46" s="23" t="n">
        <f aca="false">SUMIFS(SDUD_NDC_data!$G$6:$G$742,SDUD_NDC_data!$D$6:$D$742,"MPA",SDUD_NDC_data!$C$6:$C$742,$A46,SDUD_NDC_data!$B$6:$B$742,"2018")</f>
        <v>0</v>
      </c>
      <c r="C46" s="23" t="n">
        <f aca="false">SUMIFS(SDUD_NDC_data!$G$6:$G$742,SDUD_NDC_data!$D$6:$D$742,"MPA",SDUD_NDC_data!$C$6:$C$742,$A46,SDUD_NDC_data!$B$6:$B$742,"2019")</f>
        <v>0</v>
      </c>
      <c r="D46" s="23" t="n">
        <f aca="false">SUMIFS(SDUD_NDC_data!$G$6:$G$742,SDUD_NDC_data!$D$6:$D$742,"MPA",SDUD_NDC_data!$C$6:$C$742,$A46,SDUD_NDC_data!$B$6:$B$742,"2020")</f>
        <v>417</v>
      </c>
      <c r="E46" s="23" t="n">
        <f aca="false">SUMIFS(SDUD_NDC_data!$G$6:$G$742,SDUD_NDC_data!$D$6:$D$742,"MPA",SDUD_NDC_data!$C$6:$C$742,$A46,SDUD_NDC_data!$B$6:$B$742,"2021")</f>
        <v>11536</v>
      </c>
      <c r="F46" s="23" t="n">
        <f aca="false">SUMIFS(SDUD_NDC_data!$G$6:$G$742,SDUD_NDC_data!$D$6:$D$742,"MPA",SDUD_NDC_data!$C$6:$C$742,$A46,SDUD_NDC_data!$B$6:$B$742,"2022")</f>
        <v>101150</v>
      </c>
      <c r="G46" s="23" t="n">
        <f aca="false">SUMIFS(SDUD_NDC_data!$G$6:$G$742,SDUD_NDC_data!$D$6:$D$742,"MPA",SDUD_NDC_data!$C$6:$C$742,$A46,SDUD_NDC_data!$B$6:$B$742,"2023")</f>
        <v>143171</v>
      </c>
      <c r="H46" s="23" t="n">
        <f aca="false">SUMIFS(SDUD_NDC_data!$G$6:$G$742,SDUD_NDC_data!$D$6:$D$742,"MPA",SDUD_NDC_data!$C$6:$C$742,$A46,SDUD_NDC_data!$B$6:$B$742,"2024")</f>
        <v>140100</v>
      </c>
      <c r="I46" s="23" t="n">
        <f aca="false">SUMIFS(SDUD_NDC_data!$G$6:$G$742,SDUD_NDC_data!$D$6:$D$742,"MPA",SDUD_NDC_data!$C$6:$C$742,$A46,SDUD_NDC_data!$B$6:$B$742,"2025")</f>
        <v>178095</v>
      </c>
      <c r="J46" s="23" t="n">
        <f aca="false">SUMIFS(SDUD_NDC_data!$G$6:$G$742,SDUD_NDC_data!$D$6:$D$742,"MPA",SDUD_NDC_data!$C$6:$C$742,$A46,SDUD_NDC_data!$B$6:$B$742,"2026")</f>
        <v>37873</v>
      </c>
    </row>
    <row r="47" customFormat="false" ht="15" hidden="false" customHeight="false" outlineLevel="0" collapsed="false">
      <c r="A47" s="6" t="s">
        <v>684</v>
      </c>
      <c r="B47" s="23" t="n">
        <f aca="false">SUMIFS(SDUD_NDC_data!$G$6:$G$742,SDUD_NDC_data!$D$6:$D$742,"MPA",SDUD_NDC_data!$C$6:$C$742,$A47,SDUD_NDC_data!$B$6:$B$742,"2018")</f>
        <v>0</v>
      </c>
      <c r="C47" s="23" t="n">
        <f aca="false">SUMIFS(SDUD_NDC_data!$G$6:$G$742,SDUD_NDC_data!$D$6:$D$742,"MPA",SDUD_NDC_data!$C$6:$C$742,$A47,SDUD_NDC_data!$B$6:$B$742,"2019")</f>
        <v>0</v>
      </c>
      <c r="D47" s="23" t="n">
        <f aca="false">SUMIFS(SDUD_NDC_data!$G$6:$G$742,SDUD_NDC_data!$D$6:$D$742,"MPA",SDUD_NDC_data!$C$6:$C$742,$A47,SDUD_NDC_data!$B$6:$B$742,"2020")</f>
        <v>0</v>
      </c>
      <c r="E47" s="23" t="n">
        <f aca="false">SUMIFS(SDUD_NDC_data!$G$6:$G$742,SDUD_NDC_data!$D$6:$D$742,"MPA",SDUD_NDC_data!$C$6:$C$742,$A47,SDUD_NDC_data!$B$6:$B$742,"2021")</f>
        <v>0</v>
      </c>
      <c r="F47" s="23" t="n">
        <f aca="false">SUMIFS(SDUD_NDC_data!$G$6:$G$742,SDUD_NDC_data!$D$6:$D$742,"MPA",SDUD_NDC_data!$C$6:$C$742,$A47,SDUD_NDC_data!$B$6:$B$742,"2022")</f>
        <v>7675</v>
      </c>
      <c r="G47" s="23" t="n">
        <f aca="false">SUMIFS(SDUD_NDC_data!$G$6:$G$742,SDUD_NDC_data!$D$6:$D$742,"MPA",SDUD_NDC_data!$C$6:$C$742,$A47,SDUD_NDC_data!$B$6:$B$742,"2023")</f>
        <v>19780</v>
      </c>
      <c r="H47" s="23" t="n">
        <f aca="false">SUMIFS(SDUD_NDC_data!$G$6:$G$742,SDUD_NDC_data!$D$6:$D$742,"MPA",SDUD_NDC_data!$C$6:$C$742,$A47,SDUD_NDC_data!$B$6:$B$742,"2024")</f>
        <v>28478</v>
      </c>
      <c r="I47" s="23" t="n">
        <f aca="false">SUMIFS(SDUD_NDC_data!$G$6:$G$742,SDUD_NDC_data!$D$6:$D$742,"MPA",SDUD_NDC_data!$C$6:$C$742,$A47,SDUD_NDC_data!$B$6:$B$742,"2025")</f>
        <v>26593</v>
      </c>
      <c r="J47" s="23" t="n">
        <f aca="false">SUMIFS(SDUD_NDC_data!$G$6:$G$742,SDUD_NDC_data!$D$6:$D$742,"MPA",SDUD_NDC_data!$C$6:$C$742,$A47,SDUD_NDC_data!$B$6:$B$742,"2026")</f>
        <v>6182</v>
      </c>
    </row>
    <row r="48" customFormat="false" ht="15" hidden="false" customHeight="false" outlineLevel="0" collapsed="false">
      <c r="A48" s="6" t="s">
        <v>676</v>
      </c>
      <c r="B48" s="23" t="n">
        <f aca="false">SUMIFS(SDUD_NDC_data!$G$6:$G$742,SDUD_NDC_data!$D$6:$D$742,"MPA",SDUD_NDC_data!$C$6:$C$742,$A48,SDUD_NDC_data!$B$6:$B$742,"2018")</f>
        <v>0</v>
      </c>
      <c r="C48" s="23" t="n">
        <f aca="false">SUMIFS(SDUD_NDC_data!$G$6:$G$742,SDUD_NDC_data!$D$6:$D$742,"MPA",SDUD_NDC_data!$C$6:$C$742,$A48,SDUD_NDC_data!$B$6:$B$742,"2019")</f>
        <v>0</v>
      </c>
      <c r="D48" s="23" t="n">
        <f aca="false">SUMIFS(SDUD_NDC_data!$G$6:$G$742,SDUD_NDC_data!$D$6:$D$742,"MPA",SDUD_NDC_data!$C$6:$C$742,$A48,SDUD_NDC_data!$B$6:$B$742,"2020")</f>
        <v>0</v>
      </c>
      <c r="E48" s="23" t="n">
        <f aca="false">SUMIFS(SDUD_NDC_data!$G$6:$G$742,SDUD_NDC_data!$D$6:$D$742,"MPA",SDUD_NDC_data!$C$6:$C$742,$A48,SDUD_NDC_data!$B$6:$B$742,"2021")</f>
        <v>3217</v>
      </c>
      <c r="F48" s="23" t="n">
        <f aca="false">SUMIFS(SDUD_NDC_data!$G$6:$G$742,SDUD_NDC_data!$D$6:$D$742,"MPA",SDUD_NDC_data!$C$6:$C$742,$A48,SDUD_NDC_data!$B$6:$B$742,"2022")</f>
        <v>21433</v>
      </c>
      <c r="G48" s="23" t="n">
        <f aca="false">SUMIFS(SDUD_NDC_data!$G$6:$G$742,SDUD_NDC_data!$D$6:$D$742,"MPA",SDUD_NDC_data!$C$6:$C$742,$A48,SDUD_NDC_data!$B$6:$B$742,"2023")</f>
        <v>2588</v>
      </c>
      <c r="H48" s="23" t="n">
        <f aca="false">SUMIFS(SDUD_NDC_data!$G$6:$G$742,SDUD_NDC_data!$D$6:$D$742,"MPA",SDUD_NDC_data!$C$6:$C$742,$A48,SDUD_NDC_data!$B$6:$B$742,"2024")</f>
        <v>16</v>
      </c>
      <c r="I48" s="23" t="n">
        <f aca="false">SUMIFS(SDUD_NDC_data!$G$6:$G$742,SDUD_NDC_data!$D$6:$D$742,"MPA",SDUD_NDC_data!$C$6:$C$742,$A48,SDUD_NDC_data!$B$6:$B$742,"2025")</f>
        <v>76</v>
      </c>
      <c r="J48" s="23" t="n">
        <f aca="false">SUMIFS(SDUD_NDC_data!$G$6:$G$742,SDUD_NDC_data!$D$6:$D$742,"MPA",SDUD_NDC_data!$C$6:$C$742,$A48,SDUD_NDC_data!$B$6:$B$742,"2026")</f>
        <v>0</v>
      </c>
    </row>
    <row r="49" customFormat="false" ht="15" hidden="false" customHeight="false" outlineLevel="0" collapsed="false">
      <c r="A49" s="6" t="s">
        <v>690</v>
      </c>
      <c r="B49" s="23" t="n">
        <f aca="false">SUMIFS(SDUD_NDC_data!$G$6:$G$742,SDUD_NDC_data!$D$6:$D$742,"MPA",SDUD_NDC_data!$C$6:$C$742,$A49,SDUD_NDC_data!$B$6:$B$742,"2018")</f>
        <v>0</v>
      </c>
      <c r="C49" s="23" t="n">
        <f aca="false">SUMIFS(SDUD_NDC_data!$G$6:$G$742,SDUD_NDC_data!$D$6:$D$742,"MPA",SDUD_NDC_data!$C$6:$C$742,$A49,SDUD_NDC_data!$B$6:$B$742,"2019")</f>
        <v>0</v>
      </c>
      <c r="D49" s="23" t="n">
        <f aca="false">SUMIFS(SDUD_NDC_data!$G$6:$G$742,SDUD_NDC_data!$D$6:$D$742,"MPA",SDUD_NDC_data!$C$6:$C$742,$A49,SDUD_NDC_data!$B$6:$B$742,"2020")</f>
        <v>0</v>
      </c>
      <c r="E49" s="23" t="n">
        <f aca="false">SUMIFS(SDUD_NDC_data!$G$6:$G$742,SDUD_NDC_data!$D$6:$D$742,"MPA",SDUD_NDC_data!$C$6:$C$742,$A49,SDUD_NDC_data!$B$6:$B$742,"2021")</f>
        <v>0</v>
      </c>
      <c r="F49" s="23" t="n">
        <f aca="false">SUMIFS(SDUD_NDC_data!$G$6:$G$742,SDUD_NDC_data!$D$6:$D$742,"MPA",SDUD_NDC_data!$C$6:$C$742,$A49,SDUD_NDC_data!$B$6:$B$742,"2022")</f>
        <v>285</v>
      </c>
      <c r="G49" s="23" t="n">
        <f aca="false">SUMIFS(SDUD_NDC_data!$G$6:$G$742,SDUD_NDC_data!$D$6:$D$742,"MPA",SDUD_NDC_data!$C$6:$C$742,$A49,SDUD_NDC_data!$B$6:$B$742,"2023")</f>
        <v>2129</v>
      </c>
      <c r="H49" s="23" t="n">
        <f aca="false">SUMIFS(SDUD_NDC_data!$G$6:$G$742,SDUD_NDC_data!$D$6:$D$742,"MPA",SDUD_NDC_data!$C$6:$C$742,$A49,SDUD_NDC_data!$B$6:$B$742,"2024")</f>
        <v>7388</v>
      </c>
      <c r="I49" s="23" t="n">
        <f aca="false">SUMIFS(SDUD_NDC_data!$G$6:$G$742,SDUD_NDC_data!$D$6:$D$742,"MPA",SDUD_NDC_data!$C$6:$C$742,$A49,SDUD_NDC_data!$B$6:$B$742,"2025")</f>
        <v>6989</v>
      </c>
      <c r="J49" s="23" t="n">
        <f aca="false">SUMIFS(SDUD_NDC_data!$G$6:$G$742,SDUD_NDC_data!$D$6:$D$742,"MPA",SDUD_NDC_data!$C$6:$C$742,$A49,SDUD_NDC_data!$B$6:$B$742,"2026")</f>
        <v>1251</v>
      </c>
    </row>
    <row r="50" customFormat="false" ht="15" hidden="false" customHeight="false" outlineLevel="0" collapsed="false">
      <c r="A50" s="6" t="s">
        <v>668</v>
      </c>
      <c r="B50" s="23" t="n">
        <f aca="false">SUMIFS(SDUD_NDC_data!$G$6:$G$742,SDUD_NDC_data!$D$6:$D$742,"MPA",SDUD_NDC_data!$C$6:$C$742,$A50,SDUD_NDC_data!$B$6:$B$742,"2018")</f>
        <v>2668</v>
      </c>
      <c r="C50" s="23" t="n">
        <f aca="false">SUMIFS(SDUD_NDC_data!$G$6:$G$742,SDUD_NDC_data!$D$6:$D$742,"MPA",SDUD_NDC_data!$C$6:$C$742,$A50,SDUD_NDC_data!$B$6:$B$742,"2019")</f>
        <v>1917</v>
      </c>
      <c r="D50" s="23" t="n">
        <f aca="false">SUMIFS(SDUD_NDC_data!$G$6:$G$742,SDUD_NDC_data!$D$6:$D$742,"MPA",SDUD_NDC_data!$C$6:$C$742,$A50,SDUD_NDC_data!$B$6:$B$742,"2020")</f>
        <v>1129</v>
      </c>
      <c r="E50" s="23" t="n">
        <f aca="false">SUMIFS(SDUD_NDC_data!$G$6:$G$742,SDUD_NDC_data!$D$6:$D$742,"MPA",SDUD_NDC_data!$C$6:$C$742,$A50,SDUD_NDC_data!$B$6:$B$742,"2021")</f>
        <v>1191</v>
      </c>
      <c r="F50" s="23" t="n">
        <f aca="false">SUMIFS(SDUD_NDC_data!$G$6:$G$742,SDUD_NDC_data!$D$6:$D$742,"MPA",SDUD_NDC_data!$C$6:$C$742,$A50,SDUD_NDC_data!$B$6:$B$742,"2022")</f>
        <v>217</v>
      </c>
      <c r="G50" s="23" t="n">
        <f aca="false">SUMIFS(SDUD_NDC_data!$G$6:$G$742,SDUD_NDC_data!$D$6:$D$742,"MPA",SDUD_NDC_data!$C$6:$C$742,$A50,SDUD_NDC_data!$B$6:$B$742,"2023")</f>
        <v>268</v>
      </c>
      <c r="H50" s="23" t="n">
        <f aca="false">SUMIFS(SDUD_NDC_data!$G$6:$G$742,SDUD_NDC_data!$D$6:$D$742,"MPA",SDUD_NDC_data!$C$6:$C$742,$A50,SDUD_NDC_data!$B$6:$B$742,"2024")</f>
        <v>2053</v>
      </c>
      <c r="I50" s="23" t="n">
        <f aca="false">SUMIFS(SDUD_NDC_data!$G$6:$G$742,SDUD_NDC_data!$D$6:$D$742,"MPA",SDUD_NDC_data!$C$6:$C$742,$A50,SDUD_NDC_data!$B$6:$B$742,"2025")</f>
        <v>6017</v>
      </c>
      <c r="J50" s="23" t="n">
        <f aca="false">SUMIFS(SDUD_NDC_data!$G$6:$G$742,SDUD_NDC_data!$D$6:$D$742,"MPA",SDUD_NDC_data!$C$6:$C$742,$A50,SDUD_NDC_data!$B$6:$B$742,"2026")</f>
        <v>1107</v>
      </c>
    </row>
    <row r="51" customFormat="false" ht="15" hidden="false" customHeight="false" outlineLevel="0" collapsed="false">
      <c r="A51" s="6" t="s">
        <v>698</v>
      </c>
      <c r="B51" s="23" t="n">
        <f aca="false">SUMIFS(SDUD_NDC_data!$G$6:$G$742,SDUD_NDC_data!$D$6:$D$742,"MPA",SDUD_NDC_data!$C$6:$C$742,$A51,SDUD_NDC_data!$B$6:$B$742,"2018")</f>
        <v>0</v>
      </c>
      <c r="C51" s="23" t="n">
        <f aca="false">SUMIFS(SDUD_NDC_data!$G$6:$G$742,SDUD_NDC_data!$D$6:$D$742,"MPA",SDUD_NDC_data!$C$6:$C$742,$A51,SDUD_NDC_data!$B$6:$B$742,"2019")</f>
        <v>0</v>
      </c>
      <c r="D51" s="23" t="n">
        <f aca="false">SUMIFS(SDUD_NDC_data!$G$6:$G$742,SDUD_NDC_data!$D$6:$D$742,"MPA",SDUD_NDC_data!$C$6:$C$742,$A51,SDUD_NDC_data!$B$6:$B$742,"2020")</f>
        <v>0</v>
      </c>
      <c r="E51" s="23" t="n">
        <f aca="false">SUMIFS(SDUD_NDC_data!$G$6:$G$742,SDUD_NDC_data!$D$6:$D$742,"MPA",SDUD_NDC_data!$C$6:$C$742,$A51,SDUD_NDC_data!$B$6:$B$742,"2021")</f>
        <v>0</v>
      </c>
      <c r="F51" s="23" t="n">
        <f aca="false">SUMIFS(SDUD_NDC_data!$G$6:$G$742,SDUD_NDC_data!$D$6:$D$742,"MPA",SDUD_NDC_data!$C$6:$C$742,$A51,SDUD_NDC_data!$B$6:$B$742,"2022")</f>
        <v>0</v>
      </c>
      <c r="G51" s="23" t="n">
        <f aca="false">SUMIFS(SDUD_NDC_data!$G$6:$G$742,SDUD_NDC_data!$D$6:$D$742,"MPA",SDUD_NDC_data!$C$6:$C$742,$A51,SDUD_NDC_data!$B$6:$B$742,"2023")</f>
        <v>225</v>
      </c>
      <c r="H51" s="23" t="n">
        <f aca="false">SUMIFS(SDUD_NDC_data!$G$6:$G$742,SDUD_NDC_data!$D$6:$D$742,"MPA",SDUD_NDC_data!$C$6:$C$742,$A51,SDUD_NDC_data!$B$6:$B$742,"2024")</f>
        <v>3706</v>
      </c>
      <c r="I51" s="23" t="n">
        <f aca="false">SUMIFS(SDUD_NDC_data!$G$6:$G$742,SDUD_NDC_data!$D$6:$D$742,"MPA",SDUD_NDC_data!$C$6:$C$742,$A51,SDUD_NDC_data!$B$6:$B$742,"2025")</f>
        <v>4655</v>
      </c>
      <c r="J51" s="23" t="n">
        <f aca="false">SUMIFS(SDUD_NDC_data!$G$6:$G$742,SDUD_NDC_data!$D$6:$D$742,"MPA",SDUD_NDC_data!$C$6:$C$742,$A51,SDUD_NDC_data!$B$6:$B$742,"2026")</f>
        <v>494</v>
      </c>
    </row>
    <row r="52" customFormat="false" ht="15" hidden="false" customHeight="false" outlineLevel="0" collapsed="false">
      <c r="A52" s="47" t="s">
        <v>726</v>
      </c>
      <c r="B52" s="48" t="n">
        <f aca="false">SUMIFS(SDUD_NDC_data!$G$6:$G$742,SDUD_NDC_data!$D$6:$D$742,"MPA",SDUD_NDC_data!$B$6:$B$742,"2018")</f>
        <v>912714</v>
      </c>
      <c r="C52" s="48" t="n">
        <f aca="false">SUMIFS(SDUD_NDC_data!$G$6:$G$742,SDUD_NDC_data!$D$6:$D$742,"MPA",SDUD_NDC_data!$B$6:$B$742,"2019")</f>
        <v>909074</v>
      </c>
      <c r="D52" s="48" t="n">
        <f aca="false">SUMIFS(SDUD_NDC_data!$G$6:$G$742,SDUD_NDC_data!$D$6:$D$742,"MPA",SDUD_NDC_data!$B$6:$B$742,"2020")</f>
        <v>811096</v>
      </c>
      <c r="E52" s="48" t="n">
        <f aca="false">SUMIFS(SDUD_NDC_data!$G$6:$G$742,SDUD_NDC_data!$D$6:$D$742,"MPA",SDUD_NDC_data!$B$6:$B$742,"2021")</f>
        <v>835171</v>
      </c>
      <c r="F52" s="48" t="n">
        <f aca="false">SUMIFS(SDUD_NDC_data!$G$6:$G$742,SDUD_NDC_data!$D$6:$D$742,"MPA",SDUD_NDC_data!$B$6:$B$742,"2022")</f>
        <v>580271</v>
      </c>
      <c r="G52" s="48" t="n">
        <f aca="false">SUMIFS(SDUD_NDC_data!$G$6:$G$742,SDUD_NDC_data!$D$6:$D$742,"MPA",SDUD_NDC_data!$B$6:$B$742,"2023")</f>
        <v>625715</v>
      </c>
      <c r="H52" s="48" t="n">
        <f aca="false">SUMIFS(SDUD_NDC_data!$G$6:$G$742,SDUD_NDC_data!$D$6:$D$742,"MPA",SDUD_NDC_data!$B$6:$B$742,"2024")</f>
        <v>486471</v>
      </c>
      <c r="I52" s="48" t="n">
        <f aca="false">SUMIFS(SDUD_NDC_data!$G$6:$G$742,SDUD_NDC_data!$D$6:$D$742,"MPA",SDUD_NDC_data!$B$6:$B$742,"2025")</f>
        <v>542247</v>
      </c>
      <c r="J52" s="48" t="n">
        <f aca="false">SUMIFS(SDUD_NDC_data!$G$6:$G$742,SDUD_NDC_data!$D$6:$D$742,"MPA",SDUD_NDC_data!$B$6:$B$742,"2026")</f>
        <v>109930</v>
      </c>
    </row>
    <row r="53" customFormat="false" ht="15" hidden="false" customHeight="false" outlineLevel="0" collapsed="false">
      <c r="A53" s="39" t="s">
        <v>727</v>
      </c>
      <c r="B53" s="49" t="n">
        <f aca="false">SUM(B44:B51)-B52</f>
        <v>0</v>
      </c>
      <c r="C53" s="49" t="n">
        <f aca="false">SUM(C44:C51)-C52</f>
        <v>0</v>
      </c>
      <c r="D53" s="49" t="n">
        <f aca="false">SUM(D44:D51)-D52</f>
        <v>0</v>
      </c>
      <c r="E53" s="49" t="n">
        <f aca="false">SUM(E44:E51)-E52</f>
        <v>0</v>
      </c>
      <c r="F53" s="49" t="n">
        <f aca="false">SUM(F44:F51)-F52</f>
        <v>0</v>
      </c>
      <c r="G53" s="49" t="n">
        <f aca="false">SUM(G44:G51)-G52</f>
        <v>0</v>
      </c>
      <c r="H53" s="49" t="n">
        <f aca="false">SUM(H44:H51)-H52</f>
        <v>0</v>
      </c>
      <c r="I53" s="49" t="n">
        <f aca="false">SUM(I44:I51)-I52</f>
        <v>0</v>
      </c>
      <c r="J53" s="49" t="n">
        <f aca="false">SUM(J44:J51)-J52</f>
        <v>0</v>
      </c>
    </row>
    <row r="54" customFormat="false" ht="15" hidden="false" customHeight="false" outlineLevel="0" collapsed="false">
      <c r="A54" s="4" t="s">
        <v>732</v>
      </c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5" hidden="false" customHeight="false" outlineLevel="0" collapsed="false">
      <c r="A55" s="10" t="s">
        <v>725</v>
      </c>
      <c r="B55" s="10" t="s">
        <v>265</v>
      </c>
      <c r="C55" s="10" t="s">
        <v>278</v>
      </c>
      <c r="D55" s="10" t="s">
        <v>291</v>
      </c>
      <c r="E55" s="10" t="s">
        <v>304</v>
      </c>
      <c r="F55" s="10" t="s">
        <v>317</v>
      </c>
      <c r="G55" s="10" t="s">
        <v>330</v>
      </c>
      <c r="H55" s="10" t="s">
        <v>343</v>
      </c>
      <c r="I55" s="10" t="s">
        <v>356</v>
      </c>
      <c r="J55" s="10" t="s">
        <v>369</v>
      </c>
    </row>
    <row r="56" customFormat="false" ht="15" hidden="false" customHeight="false" outlineLevel="0" collapsed="false">
      <c r="A56" s="6" t="s">
        <v>586</v>
      </c>
      <c r="B56" s="40" t="n">
        <f aca="false">IF(B$52=0,0,B44/B$52)</f>
        <v>0.88690433147733</v>
      </c>
      <c r="C56" s="40" t="n">
        <f aca="false">IF(C$52=0,0,C44/C$52)</f>
        <v>0.80217452044608</v>
      </c>
      <c r="D56" s="40" t="n">
        <f aca="false">IF(D$52=0,0,D44/D$52)</f>
        <v>0.760247862151952</v>
      </c>
      <c r="E56" s="40" t="n">
        <f aca="false">IF(E$52=0,0,E44/E$52)</f>
        <v>0.699845899821713</v>
      </c>
      <c r="F56" s="40" t="n">
        <f aca="false">IF(F$52=0,0,F44/F$52)</f>
        <v>0.589872662945417</v>
      </c>
      <c r="G56" s="40" t="n">
        <f aca="false">IF(G$52=0,0,G44/G$52)</f>
        <v>0.63619219612763</v>
      </c>
      <c r="H56" s="40" t="n">
        <f aca="false">IF(H$52=0,0,H44/H$52)</f>
        <v>0.617993672798584</v>
      </c>
      <c r="I56" s="40" t="n">
        <f aca="false">IF(I$52=0,0,I44/I$52)</f>
        <v>0.589323684593921</v>
      </c>
      <c r="J56" s="40" t="n">
        <f aca="false">IF(J$52=0,0,J44/J$52)</f>
        <v>0.572910033657782</v>
      </c>
    </row>
    <row r="57" customFormat="false" ht="15" hidden="false" customHeight="false" outlineLevel="0" collapsed="false">
      <c r="A57" s="6" t="s">
        <v>660</v>
      </c>
      <c r="B57" s="40" t="n">
        <f aca="false">IF(B$52=0,0,B45/B$52)</f>
        <v>0.110172518444989</v>
      </c>
      <c r="C57" s="40" t="n">
        <f aca="false">IF(C$52=0,0,C45/C$52)</f>
        <v>0.19571674033137</v>
      </c>
      <c r="D57" s="40" t="n">
        <f aca="false">IF(D$52=0,0,D45/D$52)</f>
        <v>0.237846074940574</v>
      </c>
      <c r="E57" s="40" t="n">
        <f aca="false">IF(E$52=0,0,E45/E$52)</f>
        <v>0.281063398992542</v>
      </c>
      <c r="F57" s="40" t="n">
        <f aca="false">IF(F$52=0,0,F45/F$52)</f>
        <v>0.184784350760248</v>
      </c>
      <c r="G57" s="40" t="n">
        <f aca="false">IF(G$52=0,0,G45/G$52)</f>
        <v>0.0950576540437739</v>
      </c>
      <c r="H57" s="40" t="n">
        <f aca="false">IF(H$52=0,0,H45/H$52)</f>
        <v>0.00841571234462075</v>
      </c>
      <c r="I57" s="40" t="n">
        <f aca="false">IF(I$52=0,0,I45/I$52)</f>
        <v>0.000485018819836716</v>
      </c>
      <c r="J57" s="40" t="n">
        <f aca="false">IF(J$52=0,0,J45/J$52)</f>
        <v>0.0003911580096425</v>
      </c>
    </row>
    <row r="58" customFormat="false" ht="15" hidden="false" customHeight="false" outlineLevel="0" collapsed="false">
      <c r="A58" s="6" t="s">
        <v>700</v>
      </c>
      <c r="B58" s="40" t="n">
        <f aca="false">IF(B$52=0,0,B46/B$52)</f>
        <v>0</v>
      </c>
      <c r="C58" s="40" t="n">
        <f aca="false">IF(C$52=0,0,C46/C$52)</f>
        <v>0</v>
      </c>
      <c r="D58" s="40" t="n">
        <f aca="false">IF(D$52=0,0,D46/D$52)</f>
        <v>0.000514119167151607</v>
      </c>
      <c r="E58" s="40" t="n">
        <f aca="false">IF(E$52=0,0,E46/E$52)</f>
        <v>0.0138127401454313</v>
      </c>
      <c r="F58" s="40" t="n">
        <f aca="false">IF(F$52=0,0,F46/F$52)</f>
        <v>0.174315104494279</v>
      </c>
      <c r="G58" s="40" t="n">
        <f aca="false">IF(G$52=0,0,G46/G$52)</f>
        <v>0.228811839255891</v>
      </c>
      <c r="H58" s="40" t="n">
        <f aca="false">IF(H$52=0,0,H46/H$52)</f>
        <v>0.287992501094618</v>
      </c>
      <c r="I58" s="40" t="n">
        <f aca="false">IF(I$52=0,0,I46/I$52)</f>
        <v>0.328438884862434</v>
      </c>
      <c r="J58" s="40" t="n">
        <f aca="false">IF(J$52=0,0,J46/J$52)</f>
        <v>0.344519239516056</v>
      </c>
    </row>
    <row r="59" customFormat="false" ht="15" hidden="false" customHeight="false" outlineLevel="0" collapsed="false">
      <c r="A59" s="6" t="s">
        <v>684</v>
      </c>
      <c r="B59" s="40" t="n">
        <f aca="false">IF(B$52=0,0,B47/B$52)</f>
        <v>0</v>
      </c>
      <c r="C59" s="40" t="n">
        <f aca="false">IF(C$52=0,0,C47/C$52)</f>
        <v>0</v>
      </c>
      <c r="D59" s="40" t="n">
        <f aca="false">IF(D$52=0,0,D47/D$52)</f>
        <v>0</v>
      </c>
      <c r="E59" s="40" t="n">
        <f aca="false">IF(E$52=0,0,E47/E$52)</f>
        <v>0</v>
      </c>
      <c r="F59" s="40" t="n">
        <f aca="false">IF(F$52=0,0,F47/F$52)</f>
        <v>0.0132265786158536</v>
      </c>
      <c r="G59" s="40" t="n">
        <f aca="false">IF(G$52=0,0,G47/G$52)</f>
        <v>0.0316118360595479</v>
      </c>
      <c r="H59" s="40" t="n">
        <f aca="false">IF(H$52=0,0,H47/H$52)</f>
        <v>0.058539974633637</v>
      </c>
      <c r="I59" s="40" t="n">
        <f aca="false">IF(I$52=0,0,I47/I$52)</f>
        <v>0.0490422261441741</v>
      </c>
      <c r="J59" s="40" t="n">
        <f aca="false">IF(J$52=0,0,J47/J$52)</f>
        <v>0.0562357864095333</v>
      </c>
    </row>
    <row r="60" customFormat="false" ht="15" hidden="false" customHeight="false" outlineLevel="0" collapsed="false">
      <c r="A60" s="6" t="s">
        <v>676</v>
      </c>
      <c r="B60" s="40" t="n">
        <f aca="false">IF(B$52=0,0,B48/B$52)</f>
        <v>0</v>
      </c>
      <c r="C60" s="40" t="n">
        <f aca="false">IF(C$52=0,0,C48/C$52)</f>
        <v>0</v>
      </c>
      <c r="D60" s="40" t="n">
        <f aca="false">IF(D$52=0,0,D48/D$52)</f>
        <v>0</v>
      </c>
      <c r="E60" s="40" t="n">
        <f aca="false">IF(E$52=0,0,E48/E$52)</f>
        <v>0.00385190577737972</v>
      </c>
      <c r="F60" s="40" t="n">
        <f aca="false">IF(F$52=0,0,F48/F$52)</f>
        <v>0.0369361901594255</v>
      </c>
      <c r="G60" s="40" t="n">
        <f aca="false">IF(G$52=0,0,G48/G$52)</f>
        <v>0.00413606833782153</v>
      </c>
      <c r="H60" s="40" t="n">
        <f aca="false">IF(H$52=0,0,H48/H$52)</f>
        <v>3.28899358851812E-005</v>
      </c>
      <c r="I60" s="40" t="n">
        <f aca="false">IF(I$52=0,0,I48/I$52)</f>
        <v>0.000140157529686656</v>
      </c>
      <c r="J60" s="40" t="n">
        <f aca="false">IF(J$52=0,0,J48/J$52)</f>
        <v>0</v>
      </c>
    </row>
    <row r="61" customFormat="false" ht="15" hidden="false" customHeight="false" outlineLevel="0" collapsed="false">
      <c r="A61" s="6" t="s">
        <v>690</v>
      </c>
      <c r="B61" s="40" t="n">
        <f aca="false">IF(B$52=0,0,B49/B$52)</f>
        <v>0</v>
      </c>
      <c r="C61" s="40" t="n">
        <f aca="false">IF(C$52=0,0,C49/C$52)</f>
        <v>0</v>
      </c>
      <c r="D61" s="40" t="n">
        <f aca="false">IF(D$52=0,0,D49/D$52)</f>
        <v>0</v>
      </c>
      <c r="E61" s="40" t="n">
        <f aca="false">IF(E$52=0,0,E49/E$52)</f>
        <v>0</v>
      </c>
      <c r="F61" s="40" t="n">
        <f aca="false">IF(F$52=0,0,F49/F$52)</f>
        <v>0.000491149824823229</v>
      </c>
      <c r="G61" s="40" t="n">
        <f aca="false">IF(G$52=0,0,G49/G$52)</f>
        <v>0.0034025075313841</v>
      </c>
      <c r="H61" s="40" t="n">
        <f aca="false">IF(H$52=0,0,H49/H$52)</f>
        <v>0.0151869278949824</v>
      </c>
      <c r="I61" s="40" t="n">
        <f aca="false">IF(I$52=0,0,I49/I$52)</f>
        <v>0.0128889601971057</v>
      </c>
      <c r="J61" s="40" t="n">
        <f aca="false">IF(J$52=0,0,J49/J$52)</f>
        <v>0.0113799690712271</v>
      </c>
    </row>
    <row r="62" customFormat="false" ht="15" hidden="false" customHeight="false" outlineLevel="0" collapsed="false">
      <c r="A62" s="6" t="s">
        <v>668</v>
      </c>
      <c r="B62" s="40" t="n">
        <f aca="false">IF(B$52=0,0,B50/B$52)</f>
        <v>0.00292315007768041</v>
      </c>
      <c r="C62" s="40" t="n">
        <f aca="false">IF(C$52=0,0,C50/C$52)</f>
        <v>0.00210873922254954</v>
      </c>
      <c r="D62" s="40" t="n">
        <f aca="false">IF(D$52=0,0,D50/D$52)</f>
        <v>0.00139194374032174</v>
      </c>
      <c r="E62" s="40" t="n">
        <f aca="false">IF(E$52=0,0,E50/E$52)</f>
        <v>0.00142605526293418</v>
      </c>
      <c r="F62" s="40" t="n">
        <f aca="false">IF(F$52=0,0,F50/F$52)</f>
        <v>0.000373963199953125</v>
      </c>
      <c r="G62" s="40" t="n">
        <f aca="false">IF(G$52=0,0,G50/G$52)</f>
        <v>0.000428310013344734</v>
      </c>
      <c r="H62" s="40" t="n">
        <f aca="false">IF(H$52=0,0,H50/H$52)</f>
        <v>0.00422018989826732</v>
      </c>
      <c r="I62" s="40" t="n">
        <f aca="false">IF(I$52=0,0,I50/I$52)</f>
        <v>0.0110964191595343</v>
      </c>
      <c r="J62" s="40" t="n">
        <f aca="false">IF(J$52=0,0,J50/J$52)</f>
        <v>0.0100700445738197</v>
      </c>
    </row>
    <row r="63" customFormat="false" ht="15" hidden="false" customHeight="false" outlineLevel="0" collapsed="false">
      <c r="A63" s="6" t="s">
        <v>698</v>
      </c>
      <c r="B63" s="40" t="n">
        <f aca="false">IF(B$52=0,0,B51/B$52)</f>
        <v>0</v>
      </c>
      <c r="C63" s="40" t="n">
        <f aca="false">IF(C$52=0,0,C51/C$52)</f>
        <v>0</v>
      </c>
      <c r="D63" s="40" t="n">
        <f aca="false">IF(D$52=0,0,D51/D$52)</f>
        <v>0</v>
      </c>
      <c r="E63" s="40" t="n">
        <f aca="false">IF(E$52=0,0,E51/E$52)</f>
        <v>0</v>
      </c>
      <c r="F63" s="40" t="n">
        <f aca="false">IF(F$52=0,0,F51/F$52)</f>
        <v>0</v>
      </c>
      <c r="G63" s="40" t="n">
        <f aca="false">IF(G$52=0,0,G51/G$52)</f>
        <v>0.000359588630606586</v>
      </c>
      <c r="H63" s="40" t="n">
        <f aca="false">IF(H$52=0,0,H51/H$52)</f>
        <v>0.0076181313994051</v>
      </c>
      <c r="I63" s="40" t="n">
        <f aca="false">IF(I$52=0,0,I51/I$52)</f>
        <v>0.00858464869330766</v>
      </c>
      <c r="J63" s="40" t="n">
        <f aca="false">IF(J$52=0,0,J51/J$52)</f>
        <v>0.00449376876193942</v>
      </c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5" hidden="false" customHeight="false" outlineLevel="0" collapsed="false">
      <c r="A66" s="4" t="s">
        <v>733</v>
      </c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5" hidden="false" customHeight="false" outlineLevel="0" collapsed="false">
      <c r="A67" s="10" t="s">
        <v>580</v>
      </c>
      <c r="B67" s="10" t="s">
        <v>265</v>
      </c>
      <c r="C67" s="10" t="s">
        <v>278</v>
      </c>
      <c r="D67" s="10" t="s">
        <v>291</v>
      </c>
      <c r="E67" s="10" t="s">
        <v>304</v>
      </c>
      <c r="F67" s="10" t="s">
        <v>317</v>
      </c>
      <c r="G67" s="10" t="s">
        <v>330</v>
      </c>
      <c r="H67" s="10" t="s">
        <v>343</v>
      </c>
      <c r="I67" s="10" t="s">
        <v>356</v>
      </c>
      <c r="J67" s="10" t="s">
        <v>369</v>
      </c>
    </row>
    <row r="68" customFormat="false" ht="15" hidden="false" customHeight="false" outlineLevel="0" collapsed="false">
      <c r="A68" s="6" t="s">
        <v>587</v>
      </c>
      <c r="B68" s="15" t="n">
        <f aca="false">SUMIFS(SDUD_NDC_data!$H$6:$H$742,SDUD_NDC_data!$D$6:$D$742,"MPSS",SDUD_NDC_data!$C$6:$C$742,"Pfizer (Pharmacia &amp; Upjohn) - brand",SDUD_NDC_data!$B$6:$B$742,"2018")/SUMIFS(SDUD_NDC_data!$H$6:$H$742,SDUD_NDC_data!$D$6:$D$742,"MPSS",SDUD_NDC_data!$B$6:$B$742,"2018")</f>
        <v>0.872810704693636</v>
      </c>
      <c r="C68" s="15" t="n">
        <f aca="false">SUMIFS(SDUD_NDC_data!$H$6:$H$742,SDUD_NDC_data!$D$6:$D$742,"MPSS",SDUD_NDC_data!$C$6:$C$742,"Pfizer (Pharmacia &amp; Upjohn) - brand",SDUD_NDC_data!$B$6:$B$742,"2019")/SUMIFS(SDUD_NDC_data!$H$6:$H$742,SDUD_NDC_data!$D$6:$D$742,"MPSS",SDUD_NDC_data!$B$6:$B$742,"2019")</f>
        <v>0.929247756285902</v>
      </c>
      <c r="D68" s="15" t="n">
        <f aca="false">SUMIFS(SDUD_NDC_data!$H$6:$H$742,SDUD_NDC_data!$D$6:$D$742,"MPSS",SDUD_NDC_data!$C$6:$C$742,"Pfizer (Pharmacia &amp; Upjohn) - brand",SDUD_NDC_data!$B$6:$B$742,"2020")/SUMIFS(SDUD_NDC_data!$H$6:$H$742,SDUD_NDC_data!$D$6:$D$742,"MPSS",SDUD_NDC_data!$B$6:$B$742,"2020")</f>
        <v>0.924424280687757</v>
      </c>
      <c r="E68" s="15" t="n">
        <f aca="false">SUMIFS(SDUD_NDC_data!$H$6:$H$742,SDUD_NDC_data!$D$6:$D$742,"MPSS",SDUD_NDC_data!$C$6:$C$742,"Pfizer (Pharmacia &amp; Upjohn) - brand",SDUD_NDC_data!$B$6:$B$742,"2021")/SUMIFS(SDUD_NDC_data!$H$6:$H$742,SDUD_NDC_data!$D$6:$D$742,"MPSS",SDUD_NDC_data!$B$6:$B$742,"2021")</f>
        <v>0.904540823140851</v>
      </c>
      <c r="F68" s="15" t="n">
        <f aca="false">SUMIFS(SDUD_NDC_data!$H$6:$H$742,SDUD_NDC_data!$D$6:$D$742,"MPSS",SDUD_NDC_data!$C$6:$C$742,"Pfizer (Pharmacia &amp; Upjohn) - brand",SDUD_NDC_data!$B$6:$B$742,"2022")/SUMIFS(SDUD_NDC_data!$H$6:$H$742,SDUD_NDC_data!$D$6:$D$742,"MPSS",SDUD_NDC_data!$B$6:$B$742,"2022")</f>
        <v>0.9335485078672</v>
      </c>
      <c r="G68" s="15" t="n">
        <f aca="false">SUMIFS(SDUD_NDC_data!$H$6:$H$742,SDUD_NDC_data!$D$6:$D$742,"MPSS",SDUD_NDC_data!$C$6:$C$742,"Pfizer (Pharmacia &amp; Upjohn) - brand",SDUD_NDC_data!$B$6:$B$742,"2023")/SUMIFS(SDUD_NDC_data!$H$6:$H$742,SDUD_NDC_data!$D$6:$D$742,"MPSS",SDUD_NDC_data!$B$6:$B$742,"2023")</f>
        <v>0.807685327461566</v>
      </c>
      <c r="H68" s="15" t="n">
        <f aca="false">SUMIFS(SDUD_NDC_data!$H$6:$H$742,SDUD_NDC_data!$D$6:$D$742,"MPSS",SDUD_NDC_data!$C$6:$C$742,"Pfizer (Pharmacia &amp; Upjohn) - brand",SDUD_NDC_data!$B$6:$B$742,"2024")/SUMIFS(SDUD_NDC_data!$H$6:$H$742,SDUD_NDC_data!$D$6:$D$742,"MPSS",SDUD_NDC_data!$B$6:$B$742,"2024")</f>
        <v>0.76057642051962</v>
      </c>
      <c r="I68" s="15" t="n">
        <f aca="false">SUMIFS(SDUD_NDC_data!$H$6:$H$742,SDUD_NDC_data!$D$6:$D$742,"MPSS",SDUD_NDC_data!$C$6:$C$742,"Pfizer (Pharmacia &amp; Upjohn) - brand",SDUD_NDC_data!$B$6:$B$742,"2025")/SUMIFS(SDUD_NDC_data!$H$6:$H$742,SDUD_NDC_data!$D$6:$D$742,"MPSS",SDUD_NDC_data!$B$6:$B$742,"2025")</f>
        <v>0.766203235240142</v>
      </c>
      <c r="J68" s="15" t="n">
        <f aca="false">SUMIFS(SDUD_NDC_data!$H$6:$H$742,SDUD_NDC_data!$D$6:$D$742,"MPSS",SDUD_NDC_data!$C$6:$C$742,"Pfizer (Pharmacia &amp; Upjohn) - brand",SDUD_NDC_data!$B$6:$B$742,"2026")/SUMIFS(SDUD_NDC_data!$H$6:$H$742,SDUD_NDC_data!$D$6:$D$742,"MPSS",SDUD_NDC_data!$B$6:$B$742,"2026")</f>
        <v>0.708464846064328</v>
      </c>
    </row>
    <row r="69" customFormat="false" ht="15" hidden="false" customHeight="false" outlineLevel="0" collapsed="false">
      <c r="A69" s="6" t="s">
        <v>599</v>
      </c>
      <c r="B69" s="15" t="n">
        <f aca="false">SUMIFS(SDUD_NDC_data!$H$6:$H$742,SDUD_NDC_data!$D$6:$D$742,"HSS",SDUD_NDC_data!$C$6:$C$742,"Pfizer (Pharmacia &amp; Upjohn) - brand",SDUD_NDC_data!$B$6:$B$742,"2018")/SUMIFS(SDUD_NDC_data!$H$6:$H$742,SDUD_NDC_data!$D$6:$D$742,"HSS",SDUD_NDC_data!$B$6:$B$742,"2018")</f>
        <v>0.996599223841868</v>
      </c>
      <c r="C69" s="15" t="n">
        <f aca="false">SUMIFS(SDUD_NDC_data!$H$6:$H$742,SDUD_NDC_data!$D$6:$D$742,"HSS",SDUD_NDC_data!$C$6:$C$742,"Pfizer (Pharmacia &amp; Upjohn) - brand",SDUD_NDC_data!$B$6:$B$742,"2019")/SUMIFS(SDUD_NDC_data!$H$6:$H$742,SDUD_NDC_data!$D$6:$D$742,"HSS",SDUD_NDC_data!$B$6:$B$742,"2019")</f>
        <v>0.999709716787289</v>
      </c>
      <c r="D69" s="15" t="n">
        <f aca="false">SUMIFS(SDUD_NDC_data!$H$6:$H$742,SDUD_NDC_data!$D$6:$D$742,"HSS",SDUD_NDC_data!$C$6:$C$742,"Pfizer (Pharmacia &amp; Upjohn) - brand",SDUD_NDC_data!$B$6:$B$742,"2020")/SUMIFS(SDUD_NDC_data!$H$6:$H$742,SDUD_NDC_data!$D$6:$D$742,"HSS",SDUD_NDC_data!$B$6:$B$742,"2020")</f>
        <v>0.999403910350986</v>
      </c>
      <c r="E69" s="15" t="n">
        <f aca="false">SUMIFS(SDUD_NDC_data!$H$6:$H$742,SDUD_NDC_data!$D$6:$D$742,"HSS",SDUD_NDC_data!$C$6:$C$742,"Pfizer (Pharmacia &amp; Upjohn) - brand",SDUD_NDC_data!$B$6:$B$742,"2021")/SUMIFS(SDUD_NDC_data!$H$6:$H$742,SDUD_NDC_data!$D$6:$D$742,"HSS",SDUD_NDC_data!$B$6:$B$742,"2021")</f>
        <v>0.999981308308837</v>
      </c>
      <c r="F69" s="15" t="n">
        <f aca="false">SUMIFS(SDUD_NDC_data!$H$6:$H$742,SDUD_NDC_data!$D$6:$D$742,"HSS",SDUD_NDC_data!$C$6:$C$742,"Pfizer (Pharmacia &amp; Upjohn) - brand",SDUD_NDC_data!$B$6:$B$742,"2022")/SUMIFS(SDUD_NDC_data!$H$6:$H$742,SDUD_NDC_data!$D$6:$D$742,"HSS",SDUD_NDC_data!$B$6:$B$742,"2022")</f>
        <v>1</v>
      </c>
      <c r="G69" s="15" t="n">
        <f aca="false">SUMIFS(SDUD_NDC_data!$H$6:$H$742,SDUD_NDC_data!$D$6:$D$742,"HSS",SDUD_NDC_data!$C$6:$C$742,"Pfizer (Pharmacia &amp; Upjohn) - brand",SDUD_NDC_data!$B$6:$B$742,"2023")/SUMIFS(SDUD_NDC_data!$H$6:$H$742,SDUD_NDC_data!$D$6:$D$742,"HSS",SDUD_NDC_data!$B$6:$B$742,"2023")</f>
        <v>1</v>
      </c>
      <c r="H69" s="15" t="n">
        <f aca="false">SUMIFS(SDUD_NDC_data!$H$6:$H$742,SDUD_NDC_data!$D$6:$D$742,"HSS",SDUD_NDC_data!$C$6:$C$742,"Pfizer (Pharmacia &amp; Upjohn) - brand",SDUD_NDC_data!$B$6:$B$742,"2024")/SUMIFS(SDUD_NDC_data!$H$6:$H$742,SDUD_NDC_data!$D$6:$D$742,"HSS",SDUD_NDC_data!$B$6:$B$742,"2024")</f>
        <v>0.998614385280786</v>
      </c>
      <c r="I69" s="15" t="n">
        <f aca="false">SUMIFS(SDUD_NDC_data!$H$6:$H$742,SDUD_NDC_data!$D$6:$D$742,"HSS",SDUD_NDC_data!$C$6:$C$742,"Pfizer (Pharmacia &amp; Upjohn) - brand",SDUD_NDC_data!$B$6:$B$742,"2025")/SUMIFS(SDUD_NDC_data!$H$6:$H$742,SDUD_NDC_data!$D$6:$D$742,"HSS",SDUD_NDC_data!$B$6:$B$742,"2025")</f>
        <v>0.971612698892494</v>
      </c>
      <c r="J69" s="15" t="n">
        <f aca="false">SUMIFS(SDUD_NDC_data!$H$6:$H$742,SDUD_NDC_data!$D$6:$D$742,"HSS",SDUD_NDC_data!$C$6:$C$742,"Pfizer (Pharmacia &amp; Upjohn) - brand",SDUD_NDC_data!$B$6:$B$742,"2026")/SUMIFS(SDUD_NDC_data!$H$6:$H$742,SDUD_NDC_data!$D$6:$D$742,"HSS",SDUD_NDC_data!$B$6:$B$742,"2026")</f>
        <v>0.964736791399918</v>
      </c>
    </row>
    <row r="70" customFormat="false" ht="15" hidden="false" customHeight="false" outlineLevel="0" collapsed="false">
      <c r="A70" s="6" t="s">
        <v>620</v>
      </c>
      <c r="B70" s="15" t="n">
        <f aca="false">SUMIFS(SDUD_NDC_data!$H$6:$H$742,SDUD_NDC_data!$D$6:$D$742,"MPA",SDUD_NDC_data!$C$6:$C$742,"Pfizer (Pharmacia &amp; Upjohn) - brand",SDUD_NDC_data!$B$6:$B$742,"2018")/SUMIFS(SDUD_NDC_data!$H$6:$H$742,SDUD_NDC_data!$D$6:$D$742,"MPA",SDUD_NDC_data!$B$6:$B$742,"2018")</f>
        <v>0.865581963548088</v>
      </c>
      <c r="C70" s="15" t="n">
        <f aca="false">SUMIFS(SDUD_NDC_data!$H$6:$H$742,SDUD_NDC_data!$D$6:$D$742,"MPA",SDUD_NDC_data!$C$6:$C$742,"Pfizer (Pharmacia &amp; Upjohn) - brand",SDUD_NDC_data!$B$6:$B$742,"2019")/SUMIFS(SDUD_NDC_data!$H$6:$H$742,SDUD_NDC_data!$D$6:$D$742,"MPA",SDUD_NDC_data!$B$6:$B$742,"2019")</f>
        <v>0.803788479343677</v>
      </c>
      <c r="D70" s="15" t="n">
        <f aca="false">SUMIFS(SDUD_NDC_data!$H$6:$H$742,SDUD_NDC_data!$D$6:$D$742,"MPA",SDUD_NDC_data!$C$6:$C$742,"Pfizer (Pharmacia &amp; Upjohn) - brand",SDUD_NDC_data!$B$6:$B$742,"2020")/SUMIFS(SDUD_NDC_data!$H$6:$H$742,SDUD_NDC_data!$D$6:$D$742,"MPA",SDUD_NDC_data!$B$6:$B$742,"2020")</f>
        <v>0.781522608481401</v>
      </c>
      <c r="E70" s="15" t="n">
        <f aca="false">SUMIFS(SDUD_NDC_data!$H$6:$H$742,SDUD_NDC_data!$D$6:$D$742,"MPA",SDUD_NDC_data!$C$6:$C$742,"Pfizer (Pharmacia &amp; Upjohn) - brand",SDUD_NDC_data!$B$6:$B$742,"2021")/SUMIFS(SDUD_NDC_data!$H$6:$H$742,SDUD_NDC_data!$D$6:$D$742,"MPA",SDUD_NDC_data!$B$6:$B$742,"2021")</f>
        <v>0.706224525322348</v>
      </c>
      <c r="F70" s="15" t="n">
        <f aca="false">SUMIFS(SDUD_NDC_data!$H$6:$H$742,SDUD_NDC_data!$D$6:$D$742,"MPA",SDUD_NDC_data!$C$6:$C$742,"Pfizer (Pharmacia &amp; Upjohn) - brand",SDUD_NDC_data!$B$6:$B$742,"2022")/SUMIFS(SDUD_NDC_data!$H$6:$H$742,SDUD_NDC_data!$D$6:$D$742,"MPA",SDUD_NDC_data!$B$6:$B$742,"2022")</f>
        <v>0.584735801698646</v>
      </c>
      <c r="G70" s="15" t="n">
        <f aca="false">SUMIFS(SDUD_NDC_data!$H$6:$H$742,SDUD_NDC_data!$D$6:$D$742,"MPA",SDUD_NDC_data!$C$6:$C$742,"Pfizer (Pharmacia &amp; Upjohn) - brand",SDUD_NDC_data!$B$6:$B$742,"2023")/SUMIFS(SDUD_NDC_data!$H$6:$H$742,SDUD_NDC_data!$D$6:$D$742,"MPA",SDUD_NDC_data!$B$6:$B$742,"2023")</f>
        <v>0.665095591112351</v>
      </c>
      <c r="H70" s="15" t="n">
        <f aca="false">SUMIFS(SDUD_NDC_data!$H$6:$H$742,SDUD_NDC_data!$D$6:$D$742,"MPA",SDUD_NDC_data!$C$6:$C$742,"Pfizer (Pharmacia &amp; Upjohn) - brand",SDUD_NDC_data!$B$6:$B$742,"2024")/SUMIFS(SDUD_NDC_data!$H$6:$H$742,SDUD_NDC_data!$D$6:$D$742,"MPA",SDUD_NDC_data!$B$6:$B$742,"2024")</f>
        <v>0.643686668603384</v>
      </c>
      <c r="I70" s="15" t="n">
        <f aca="false">SUMIFS(SDUD_NDC_data!$H$6:$H$742,SDUD_NDC_data!$D$6:$D$742,"MPA",SDUD_NDC_data!$C$6:$C$742,"Pfizer (Pharmacia &amp; Upjohn) - brand",SDUD_NDC_data!$B$6:$B$742,"2025")/SUMIFS(SDUD_NDC_data!$H$6:$H$742,SDUD_NDC_data!$D$6:$D$742,"MPA",SDUD_NDC_data!$B$6:$B$742,"2025")</f>
        <v>0.631790693315247</v>
      </c>
      <c r="J70" s="15" t="n">
        <f aca="false">SUMIFS(SDUD_NDC_data!$H$6:$H$742,SDUD_NDC_data!$D$6:$D$742,"MPA",SDUD_NDC_data!$C$6:$C$742,"Pfizer (Pharmacia &amp; Upjohn) - brand",SDUD_NDC_data!$B$6:$B$742,"2026")/SUMIFS(SDUD_NDC_data!$H$6:$H$742,SDUD_NDC_data!$D$6:$D$742,"MPA",SDUD_NDC_data!$B$6:$B$742,"2026")</f>
        <v>0.63447117947944</v>
      </c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5" hidden="false" customHeight="false" outlineLevel="0" collapsed="false">
      <c r="A72" s="4" t="s">
        <v>734</v>
      </c>
      <c r="B72" s="2"/>
      <c r="C72" s="2"/>
      <c r="D72" s="2"/>
      <c r="E72" s="2"/>
      <c r="F72" s="2"/>
      <c r="G72" s="2"/>
      <c r="H72" s="2"/>
      <c r="I72" s="2"/>
      <c r="J72" s="2"/>
    </row>
    <row r="73" customFormat="false" ht="42" hidden="false" customHeight="true" outlineLevel="0" collapsed="false">
      <c r="A73" s="10" t="s">
        <v>581</v>
      </c>
      <c r="B73" s="10" t="s">
        <v>735</v>
      </c>
      <c r="C73" s="10" t="s">
        <v>736</v>
      </c>
      <c r="D73" s="10" t="s">
        <v>737</v>
      </c>
      <c r="E73" s="10" t="s">
        <v>738</v>
      </c>
      <c r="F73" s="10" t="s">
        <v>739</v>
      </c>
      <c r="G73" s="10" t="s">
        <v>740</v>
      </c>
      <c r="H73" s="2"/>
      <c r="I73" s="2"/>
      <c r="J73" s="2"/>
    </row>
    <row r="74" customFormat="false" ht="15" hidden="false" customHeight="false" outlineLevel="0" collapsed="false">
      <c r="A74" s="6" t="s">
        <v>607</v>
      </c>
      <c r="B74" s="15" t="n">
        <f aca="false">SUMIFS(SDUD_NDC_data!$G$6:$G$742,SDUD_NDC_data!$D$6:$D$742,"MPSS",SDUD_NDC_data!$E$6:$E$742,$A74,SDUD_NDC_data!$B$6:$B$742,"2025")/SUMIFS(SDUD_NDC_data!$G$6:$G$742,SDUD_NDC_data!$D$6:$D$742,"MPSS",SDUD_NDC_data!$B$6:$B$742,"2025")</f>
        <v>0.226860004105135</v>
      </c>
      <c r="C74" s="15" t="n">
        <f aca="false">IF(SUMIFS(SDUD_NDC_data!$G$6:$G$742,SDUD_NDC_data!$D$6:$D$742,"MPSS",SDUD_NDC_data!$E$6:$E$742,$A74,SDUD_NDC_data!$B$6:$B$742,"2025")=0,0,SUMIFS(SDUD_NDC_data!$G$6:$G$742,SDUD_NDC_data!$D$6:$D$742,"MPSS",SDUD_NDC_data!$E$6:$E$742,$A74,SDUD_NDC_data!$B$6:$B$742,"2025",SDUD_NDC_data!$C$6:$C$742,"Pfizer (Pharmacia &amp; Upjohn) - brand")/SUMIFS(SDUD_NDC_data!$G$6:$G$742,SDUD_NDC_data!$D$6:$D$742,"MPSS",SDUD_NDC_data!$E$6:$E$742,$A74,SDUD_NDC_data!$B$6:$B$742,"2025"))</f>
        <v>0.76972344908868</v>
      </c>
      <c r="D74" s="15" t="n">
        <f aca="false">IF(SUMIFS(SDUD_NDC_data!$G$6:$G$742,SDUD_NDC_data!$D$6:$D$742,"MPSS",SDUD_NDC_data!$E$6:$E$742,$A74,SDUD_NDC_data!$B$6:$B$742,"2026")=0,0,SUMIFS(SDUD_NDC_data!$G$6:$G$742,SDUD_NDC_data!$D$6:$D$742,"MPSS",SDUD_NDC_data!$E$6:$E$742,$A74,SDUD_NDC_data!$B$6:$B$742,"2026",SDUD_NDC_data!$C$6:$C$742,"Pfizer (Pharmacia &amp; Upjohn) - brand")/SUMIFS(SDUD_NDC_data!$G$6:$G$742,SDUD_NDC_data!$D$6:$D$742,"MPSS",SDUD_NDC_data!$E$6:$E$742,$A74,SDUD_NDC_data!$B$6:$B$742,"2026"))</f>
        <v>0.746636094853074</v>
      </c>
      <c r="E74" s="15" t="n">
        <f aca="false">IF(SUMIFS(SDUD_NDC_data!$G$6:$G$742,SDUD_NDC_data!$D$6:$D$742,"MPSS",SDUD_NDC_data!$E$6:$E$742,$A74,SDUD_NDC_data!$B$6:$B$742,"2026")=0,0,SUMIFS(SDUD_NDC_data!$G$6:$G$742,SDUD_NDC_data!$D$6:$D$742,"MPSS",SDUD_NDC_data!$E$6:$E$742,$A74,SDUD_NDC_data!$B$6:$B$742,"2026",SDUD_NDC_data!$C$6:$C$742,"Dr. Reddy's")/SUMIFS(SDUD_NDC_data!$G$6:$G$742,SDUD_NDC_data!$D$6:$D$742,"MPSS",SDUD_NDC_data!$E$6:$E$742,$A74,SDUD_NDC_data!$B$6:$B$742,"2026"))</f>
        <v>0.156398962167381</v>
      </c>
      <c r="F74" s="15" t="n">
        <f aca="false">IF(SUMIFS(SDUD_NDC_data!$G$6:$G$742,SDUD_NDC_data!$D$6:$D$742,"MPSS",SDUD_NDC_data!$E$6:$E$742,$A74,SDUD_NDC_data!$B$6:$B$742,"2026")=0,0,SUMIFS(SDUD_NDC_data!$G$6:$G$742,SDUD_NDC_data!$D$6:$D$742,"MPSS",SDUD_NDC_data!$E$6:$E$742,$A74,SDUD_NDC_data!$B$6:$B$742,"2026",SDUD_NDC_data!$C$6:$C$742,"Fresenius Kabi")/SUMIFS(SDUD_NDC_data!$G$6:$G$742,SDUD_NDC_data!$D$6:$D$742,"MPSS",SDUD_NDC_data!$E$6:$E$742,$A74,SDUD_NDC_data!$B$6:$B$742,"2026"))</f>
        <v>0.062149278947686</v>
      </c>
      <c r="G74" s="15" t="n">
        <f aca="false">IF(SUMIFS(SDUD_NDC_data!$G$6:$G$742,SDUD_NDC_data!$D$6:$D$742,"MPSS",SDUD_NDC_data!$E$6:$E$742,$A74,SDUD_NDC_data!$B$6:$B$742,"2026")=0,0,SUMIFS(SDUD_NDC_data!$G$6:$G$742,SDUD_NDC_data!$D$6:$D$742,"MPSS",SDUD_NDC_data!$E$6:$E$742,$A74,SDUD_NDC_data!$B$6:$B$742,"2026",SDUD_NDC_data!$C$6:$C$742,"Hikma (West-Ward)")/SUMIFS(SDUD_NDC_data!$G$6:$G$742,SDUD_NDC_data!$D$6:$D$742,"MPSS",SDUD_NDC_data!$E$6:$E$742,$A74,SDUD_NDC_data!$B$6:$B$742,"2026"))</f>
        <v>0.0340312556567912</v>
      </c>
      <c r="H74" s="2"/>
      <c r="I74" s="2"/>
      <c r="J74" s="2"/>
    </row>
    <row r="75" customFormat="false" ht="15" hidden="false" customHeight="false" outlineLevel="0" collapsed="false">
      <c r="A75" s="6" t="s">
        <v>611</v>
      </c>
      <c r="B75" s="15" t="n">
        <f aca="false">SUMIFS(SDUD_NDC_data!$G$6:$G$742,SDUD_NDC_data!$D$6:$D$742,"MPSS",SDUD_NDC_data!$E$6:$E$742,$A75,SDUD_NDC_data!$B$6:$B$742,"2025")/SUMIFS(SDUD_NDC_data!$G$6:$G$742,SDUD_NDC_data!$D$6:$D$742,"MPSS",SDUD_NDC_data!$B$6:$B$742,"2025")</f>
        <v>0.721977054457852</v>
      </c>
      <c r="C75" s="15" t="n">
        <f aca="false">IF(SUMIFS(SDUD_NDC_data!$G$6:$G$742,SDUD_NDC_data!$D$6:$D$742,"MPSS",SDUD_NDC_data!$E$6:$E$742,$A75,SDUD_NDC_data!$B$6:$B$742,"2025")=0,0,SUMIFS(SDUD_NDC_data!$G$6:$G$742,SDUD_NDC_data!$D$6:$D$742,"MPSS",SDUD_NDC_data!$E$6:$E$742,$A75,SDUD_NDC_data!$B$6:$B$742,"2025",SDUD_NDC_data!$C$6:$C$742,"Pfizer (Pharmacia &amp; Upjohn) - brand")/SUMIFS(SDUD_NDC_data!$G$6:$G$742,SDUD_NDC_data!$D$6:$D$742,"MPSS",SDUD_NDC_data!$E$6:$E$742,$A75,SDUD_NDC_data!$B$6:$B$742,"2025"))</f>
        <v>0.75269802674647</v>
      </c>
      <c r="D75" s="15" t="n">
        <f aca="false">IF(SUMIFS(SDUD_NDC_data!$G$6:$G$742,SDUD_NDC_data!$D$6:$D$742,"MPSS",SDUD_NDC_data!$E$6:$E$742,$A75,SDUD_NDC_data!$B$6:$B$742,"2026")=0,0,SUMIFS(SDUD_NDC_data!$G$6:$G$742,SDUD_NDC_data!$D$6:$D$742,"MPSS",SDUD_NDC_data!$E$6:$E$742,$A75,SDUD_NDC_data!$B$6:$B$742,"2026",SDUD_NDC_data!$C$6:$C$742,"Pfizer (Pharmacia &amp; Upjohn) - brand")/SUMIFS(SDUD_NDC_data!$G$6:$G$742,SDUD_NDC_data!$D$6:$D$742,"MPSS",SDUD_NDC_data!$E$6:$E$742,$A75,SDUD_NDC_data!$B$6:$B$742,"2026"))</f>
        <v>0.744957646184244</v>
      </c>
      <c r="E75" s="15" t="n">
        <f aca="false">IF(SUMIFS(SDUD_NDC_data!$G$6:$G$742,SDUD_NDC_data!$D$6:$D$742,"MPSS",SDUD_NDC_data!$E$6:$E$742,$A75,SDUD_NDC_data!$B$6:$B$742,"2026")=0,0,SUMIFS(SDUD_NDC_data!$G$6:$G$742,SDUD_NDC_data!$D$6:$D$742,"MPSS",SDUD_NDC_data!$E$6:$E$742,$A75,SDUD_NDC_data!$B$6:$B$742,"2026",SDUD_NDC_data!$C$6:$C$742,"Dr. Reddy's")/SUMIFS(SDUD_NDC_data!$G$6:$G$742,SDUD_NDC_data!$D$6:$D$742,"MPSS",SDUD_NDC_data!$E$6:$E$742,$A75,SDUD_NDC_data!$B$6:$B$742,"2026"))</f>
        <v>0.170686855644893</v>
      </c>
      <c r="F75" s="15" t="n">
        <f aca="false">IF(SUMIFS(SDUD_NDC_data!$G$6:$G$742,SDUD_NDC_data!$D$6:$D$742,"MPSS",SDUD_NDC_data!$E$6:$E$742,$A75,SDUD_NDC_data!$B$6:$B$742,"2026")=0,0,SUMIFS(SDUD_NDC_data!$G$6:$G$742,SDUD_NDC_data!$D$6:$D$742,"MPSS",SDUD_NDC_data!$E$6:$E$742,$A75,SDUD_NDC_data!$B$6:$B$742,"2026",SDUD_NDC_data!$C$6:$C$742,"Fresenius Kabi")/SUMIFS(SDUD_NDC_data!$G$6:$G$742,SDUD_NDC_data!$D$6:$D$742,"MPSS",SDUD_NDC_data!$E$6:$E$742,$A75,SDUD_NDC_data!$B$6:$B$742,"2026"))</f>
        <v>0.0546784826965589</v>
      </c>
      <c r="G75" s="15" t="n">
        <f aca="false">IF(SUMIFS(SDUD_NDC_data!$G$6:$G$742,SDUD_NDC_data!$D$6:$D$742,"MPSS",SDUD_NDC_data!$E$6:$E$742,$A75,SDUD_NDC_data!$B$6:$B$742,"2026")=0,0,SUMIFS(SDUD_NDC_data!$G$6:$G$742,SDUD_NDC_data!$D$6:$D$742,"MPSS",SDUD_NDC_data!$E$6:$E$742,$A75,SDUD_NDC_data!$B$6:$B$742,"2026",SDUD_NDC_data!$C$6:$C$742,"Hikma (West-Ward)")/SUMIFS(SDUD_NDC_data!$G$6:$G$742,SDUD_NDC_data!$D$6:$D$742,"MPSS",SDUD_NDC_data!$E$6:$E$742,$A75,SDUD_NDC_data!$B$6:$B$742,"2026"))</f>
        <v>0.0287379932312147</v>
      </c>
      <c r="H75" s="2"/>
      <c r="I75" s="2"/>
      <c r="J75" s="2"/>
    </row>
    <row r="76" customFormat="false" ht="15" hidden="false" customHeight="false" outlineLevel="0" collapsed="false">
      <c r="A76" s="6" t="s">
        <v>588</v>
      </c>
      <c r="B76" s="15" t="n">
        <f aca="false">SUMIFS(SDUD_NDC_data!$G$6:$G$742,SDUD_NDC_data!$D$6:$D$742,"MPSS",SDUD_NDC_data!$E$6:$E$742,$A76,SDUD_NDC_data!$B$6:$B$742,"2025")/SUMIFS(SDUD_NDC_data!$G$6:$G$742,SDUD_NDC_data!$D$6:$D$742,"MPSS",SDUD_NDC_data!$B$6:$B$742,"2025")</f>
        <v>0.0135658496008297</v>
      </c>
      <c r="C76" s="15" t="n">
        <f aca="false">IF(SUMIFS(SDUD_NDC_data!$G$6:$G$742,SDUD_NDC_data!$D$6:$D$742,"MPSS",SDUD_NDC_data!$E$6:$E$742,$A76,SDUD_NDC_data!$B$6:$B$742,"2025")=0,0,SUMIFS(SDUD_NDC_data!$G$6:$G$742,SDUD_NDC_data!$D$6:$D$742,"MPSS",SDUD_NDC_data!$E$6:$E$742,$A76,SDUD_NDC_data!$B$6:$B$742,"2025",SDUD_NDC_data!$C$6:$C$742,"Pfizer (Pharmacia &amp; Upjohn) - brand")/SUMIFS(SDUD_NDC_data!$G$6:$G$742,SDUD_NDC_data!$D$6:$D$742,"MPSS",SDUD_NDC_data!$E$6:$E$742,$A76,SDUD_NDC_data!$B$6:$B$742,"2025"))</f>
        <v>0.75154290264782</v>
      </c>
      <c r="D76" s="15" t="n">
        <f aca="false">IF(SUMIFS(SDUD_NDC_data!$G$6:$G$742,SDUD_NDC_data!$D$6:$D$742,"MPSS",SDUD_NDC_data!$E$6:$E$742,$A76,SDUD_NDC_data!$B$6:$B$742,"2026")=0,0,SUMIFS(SDUD_NDC_data!$G$6:$G$742,SDUD_NDC_data!$D$6:$D$742,"MPSS",SDUD_NDC_data!$E$6:$E$742,$A76,SDUD_NDC_data!$B$6:$B$742,"2026",SDUD_NDC_data!$C$6:$C$742,"Pfizer (Pharmacia &amp; Upjohn) - brand")/SUMIFS(SDUD_NDC_data!$G$6:$G$742,SDUD_NDC_data!$D$6:$D$742,"MPSS",SDUD_NDC_data!$E$6:$E$742,$A76,SDUD_NDC_data!$B$6:$B$742,"2026"))</f>
        <v>0.662146892655367</v>
      </c>
      <c r="E76" s="15" t="n">
        <f aca="false">IF(SUMIFS(SDUD_NDC_data!$G$6:$G$742,SDUD_NDC_data!$D$6:$D$742,"MPSS",SDUD_NDC_data!$E$6:$E$742,$A76,SDUD_NDC_data!$B$6:$B$742,"2026")=0,0,SUMIFS(SDUD_NDC_data!$G$6:$G$742,SDUD_NDC_data!$D$6:$D$742,"MPSS",SDUD_NDC_data!$E$6:$E$742,$A76,SDUD_NDC_data!$B$6:$B$742,"2026",SDUD_NDC_data!$C$6:$C$742,"Dr. Reddy's")/SUMIFS(SDUD_NDC_data!$G$6:$G$742,SDUD_NDC_data!$D$6:$D$742,"MPSS",SDUD_NDC_data!$E$6:$E$742,$A76,SDUD_NDC_data!$B$6:$B$742,"2026"))</f>
        <v>0.193220338983051</v>
      </c>
      <c r="F76" s="15" t="n">
        <f aca="false">IF(SUMIFS(SDUD_NDC_data!$G$6:$G$742,SDUD_NDC_data!$D$6:$D$742,"MPSS",SDUD_NDC_data!$E$6:$E$742,$A76,SDUD_NDC_data!$B$6:$B$742,"2026")=0,0,SUMIFS(SDUD_NDC_data!$G$6:$G$742,SDUD_NDC_data!$D$6:$D$742,"MPSS",SDUD_NDC_data!$E$6:$E$742,$A76,SDUD_NDC_data!$B$6:$B$742,"2026",SDUD_NDC_data!$C$6:$C$742,"Fresenius Kabi")/SUMIFS(SDUD_NDC_data!$G$6:$G$742,SDUD_NDC_data!$D$6:$D$742,"MPSS",SDUD_NDC_data!$E$6:$E$742,$A76,SDUD_NDC_data!$B$6:$B$742,"2026"))</f>
        <v>0</v>
      </c>
      <c r="G76" s="15" t="n">
        <f aca="false">IF(SUMIFS(SDUD_NDC_data!$G$6:$G$742,SDUD_NDC_data!$D$6:$D$742,"MPSS",SDUD_NDC_data!$E$6:$E$742,$A76,SDUD_NDC_data!$B$6:$B$742,"2026")=0,0,SUMIFS(SDUD_NDC_data!$G$6:$G$742,SDUD_NDC_data!$D$6:$D$742,"MPSS",SDUD_NDC_data!$E$6:$E$742,$A76,SDUD_NDC_data!$B$6:$B$742,"2026",SDUD_NDC_data!$C$6:$C$742,"Hikma (West-Ward)")/SUMIFS(SDUD_NDC_data!$G$6:$G$742,SDUD_NDC_data!$D$6:$D$742,"MPSS",SDUD_NDC_data!$E$6:$E$742,$A76,SDUD_NDC_data!$B$6:$B$742,"2026"))</f>
        <v>0.144632768361582</v>
      </c>
      <c r="H76" s="2"/>
      <c r="I76" s="2"/>
      <c r="J76" s="2"/>
    </row>
    <row r="77" customFormat="false" ht="15" hidden="false" customHeight="false" outlineLevel="0" collapsed="false">
      <c r="A77" s="6" t="s">
        <v>600</v>
      </c>
      <c r="B77" s="15" t="n">
        <f aca="false">SUMIFS(SDUD_NDC_data!$G$6:$G$742,SDUD_NDC_data!$D$6:$D$742,"MPSS",SDUD_NDC_data!$E$6:$E$742,$A77,SDUD_NDC_data!$B$6:$B$742,"2025")/SUMIFS(SDUD_NDC_data!$G$6:$G$742,SDUD_NDC_data!$D$6:$D$742,"MPSS",SDUD_NDC_data!$B$6:$B$742,"2025")</f>
        <v>0.0368300798340661</v>
      </c>
      <c r="C77" s="15" t="n">
        <f aca="false">IF(SUMIFS(SDUD_NDC_data!$G$6:$G$742,SDUD_NDC_data!$D$6:$D$742,"MPSS",SDUD_NDC_data!$E$6:$E$742,$A77,SDUD_NDC_data!$B$6:$B$742,"2025")=0,0,SUMIFS(SDUD_NDC_data!$G$6:$G$742,SDUD_NDC_data!$D$6:$D$742,"MPSS",SDUD_NDC_data!$E$6:$E$742,$A77,SDUD_NDC_data!$B$6:$B$742,"2025",SDUD_NDC_data!$C$6:$C$742,"Pfizer (Pharmacia &amp; Upjohn) - brand")/SUMIFS(SDUD_NDC_data!$G$6:$G$742,SDUD_NDC_data!$D$6:$D$742,"MPSS",SDUD_NDC_data!$E$6:$E$742,$A77,SDUD_NDC_data!$B$6:$B$742,"2025"))</f>
        <v>0.571973307912297</v>
      </c>
      <c r="D77" s="15" t="n">
        <f aca="false">IF(SUMIFS(SDUD_NDC_data!$G$6:$G$742,SDUD_NDC_data!$D$6:$D$742,"MPSS",SDUD_NDC_data!$E$6:$E$742,$A77,SDUD_NDC_data!$B$6:$B$742,"2026")=0,0,SUMIFS(SDUD_NDC_data!$G$6:$G$742,SDUD_NDC_data!$D$6:$D$742,"MPSS",SDUD_NDC_data!$E$6:$E$742,$A77,SDUD_NDC_data!$B$6:$B$742,"2026",SDUD_NDC_data!$C$6:$C$742,"Pfizer (Pharmacia &amp; Upjohn) - brand")/SUMIFS(SDUD_NDC_data!$G$6:$G$742,SDUD_NDC_data!$D$6:$D$742,"MPSS",SDUD_NDC_data!$E$6:$E$742,$A77,SDUD_NDC_data!$B$6:$B$742,"2026"))</f>
        <v>0.540905134899913</v>
      </c>
      <c r="E77" s="15" t="n">
        <f aca="false">IF(SUMIFS(SDUD_NDC_data!$G$6:$G$742,SDUD_NDC_data!$D$6:$D$742,"MPSS",SDUD_NDC_data!$E$6:$E$742,$A77,SDUD_NDC_data!$B$6:$B$742,"2026")=0,0,SUMIFS(SDUD_NDC_data!$G$6:$G$742,SDUD_NDC_data!$D$6:$D$742,"MPSS",SDUD_NDC_data!$E$6:$E$742,$A77,SDUD_NDC_data!$B$6:$B$742,"2026",SDUD_NDC_data!$C$6:$C$742,"Dr. Reddy's")/SUMIFS(SDUD_NDC_data!$G$6:$G$742,SDUD_NDC_data!$D$6:$D$742,"MPSS",SDUD_NDC_data!$E$6:$E$742,$A77,SDUD_NDC_data!$B$6:$B$742,"2026"))</f>
        <v>0.212358572671889</v>
      </c>
      <c r="F77" s="15" t="n">
        <f aca="false">IF(SUMIFS(SDUD_NDC_data!$G$6:$G$742,SDUD_NDC_data!$D$6:$D$742,"MPSS",SDUD_NDC_data!$E$6:$E$742,$A77,SDUD_NDC_data!$B$6:$B$742,"2026")=0,0,SUMIFS(SDUD_NDC_data!$G$6:$G$742,SDUD_NDC_data!$D$6:$D$742,"MPSS",SDUD_NDC_data!$E$6:$E$742,$A77,SDUD_NDC_data!$B$6:$B$742,"2026",SDUD_NDC_data!$C$6:$C$742,"Fresenius Kabi")/SUMIFS(SDUD_NDC_data!$G$6:$G$742,SDUD_NDC_data!$D$6:$D$742,"MPSS",SDUD_NDC_data!$E$6:$E$742,$A77,SDUD_NDC_data!$B$6:$B$742,"2026"))</f>
        <v>0.206701479547433</v>
      </c>
      <c r="G77" s="15" t="n">
        <f aca="false">IF(SUMIFS(SDUD_NDC_data!$G$6:$G$742,SDUD_NDC_data!$D$6:$D$742,"MPSS",SDUD_NDC_data!$E$6:$E$742,$A77,SDUD_NDC_data!$B$6:$B$742,"2026")=0,0,SUMIFS(SDUD_NDC_data!$G$6:$G$742,SDUD_NDC_data!$D$6:$D$742,"MPSS",SDUD_NDC_data!$E$6:$E$742,$A77,SDUD_NDC_data!$B$6:$B$742,"2026",SDUD_NDC_data!$C$6:$C$742,"Hikma (West-Ward)")/SUMIFS(SDUD_NDC_data!$G$6:$G$742,SDUD_NDC_data!$D$6:$D$742,"MPSS",SDUD_NDC_data!$E$6:$E$742,$A77,SDUD_NDC_data!$B$6:$B$742,"2026"))</f>
        <v>0.0400348128807659</v>
      </c>
      <c r="H77" s="2"/>
      <c r="I77" s="2"/>
      <c r="J77" s="2"/>
    </row>
    <row r="78" customFormat="false" ht="15" hidden="false" customHeight="false" outlineLevel="0" collapsed="false">
      <c r="A78" s="6" t="s">
        <v>637</v>
      </c>
      <c r="B78" s="15" t="n">
        <f aca="false">SUMIFS(SDUD_NDC_data!$G$6:$G$742,SDUD_NDC_data!$D$6:$D$742,"MPSS",SDUD_NDC_data!$E$6:$E$742,$A78,SDUD_NDC_data!$B$6:$B$742,"2025")/SUMIFS(SDUD_NDC_data!$G$6:$G$742,SDUD_NDC_data!$D$6:$D$742,"MPSS",SDUD_NDC_data!$B$6:$B$742,"2025")</f>
        <v>0.000767012002117385</v>
      </c>
      <c r="C78" s="15" t="n">
        <f aca="false">IF(SUMIFS(SDUD_NDC_data!$G$6:$G$742,SDUD_NDC_data!$D$6:$D$742,"MPSS",SDUD_NDC_data!$E$6:$E$742,$A78,SDUD_NDC_data!$B$6:$B$742,"2025")=0,0,SUMIFS(SDUD_NDC_data!$G$6:$G$742,SDUD_NDC_data!$D$6:$D$742,"MPSS",SDUD_NDC_data!$E$6:$E$742,$A78,SDUD_NDC_data!$B$6:$B$742,"2025",SDUD_NDC_data!$C$6:$C$742,"Pfizer (Pharmacia &amp; Upjohn) - brand")/SUMIFS(SDUD_NDC_data!$G$6:$G$742,SDUD_NDC_data!$D$6:$D$742,"MPSS",SDUD_NDC_data!$E$6:$E$742,$A78,SDUD_NDC_data!$B$6:$B$742,"2025"))</f>
        <v>1</v>
      </c>
      <c r="D78" s="15" t="n">
        <f aca="false">IF(SUMIFS(SDUD_NDC_data!$G$6:$G$742,SDUD_NDC_data!$D$6:$D$742,"MPSS",SDUD_NDC_data!$E$6:$E$742,$A78,SDUD_NDC_data!$B$6:$B$742,"2026")=0,0,SUMIFS(SDUD_NDC_data!$G$6:$G$742,SDUD_NDC_data!$D$6:$D$742,"MPSS",SDUD_NDC_data!$E$6:$E$742,$A78,SDUD_NDC_data!$B$6:$B$742,"2026",SDUD_NDC_data!$C$6:$C$742,"Pfizer (Pharmacia &amp; Upjohn) - brand")/SUMIFS(SDUD_NDC_data!$G$6:$G$742,SDUD_NDC_data!$D$6:$D$742,"MPSS",SDUD_NDC_data!$E$6:$E$742,$A78,SDUD_NDC_data!$B$6:$B$742,"2026"))</f>
        <v>1</v>
      </c>
      <c r="E78" s="15" t="n">
        <f aca="false">IF(SUMIFS(SDUD_NDC_data!$G$6:$G$742,SDUD_NDC_data!$D$6:$D$742,"MPSS",SDUD_NDC_data!$E$6:$E$742,$A78,SDUD_NDC_data!$B$6:$B$742,"2026")=0,0,SUMIFS(SDUD_NDC_data!$G$6:$G$742,SDUD_NDC_data!$D$6:$D$742,"MPSS",SDUD_NDC_data!$E$6:$E$742,$A78,SDUD_NDC_data!$B$6:$B$742,"2026",SDUD_NDC_data!$C$6:$C$742,"Dr. Reddy's")/SUMIFS(SDUD_NDC_data!$G$6:$G$742,SDUD_NDC_data!$D$6:$D$742,"MPSS",SDUD_NDC_data!$E$6:$E$742,$A78,SDUD_NDC_data!$B$6:$B$742,"2026"))</f>
        <v>0</v>
      </c>
      <c r="F78" s="15" t="n">
        <f aca="false">IF(SUMIFS(SDUD_NDC_data!$G$6:$G$742,SDUD_NDC_data!$D$6:$D$742,"MPSS",SDUD_NDC_data!$E$6:$E$742,$A78,SDUD_NDC_data!$B$6:$B$742,"2026")=0,0,SUMIFS(SDUD_NDC_data!$G$6:$G$742,SDUD_NDC_data!$D$6:$D$742,"MPSS",SDUD_NDC_data!$E$6:$E$742,$A78,SDUD_NDC_data!$B$6:$B$742,"2026",SDUD_NDC_data!$C$6:$C$742,"Fresenius Kabi")/SUMIFS(SDUD_NDC_data!$G$6:$G$742,SDUD_NDC_data!$D$6:$D$742,"MPSS",SDUD_NDC_data!$E$6:$E$742,$A78,SDUD_NDC_data!$B$6:$B$742,"2026"))</f>
        <v>0</v>
      </c>
      <c r="G78" s="15" t="n">
        <f aca="false">IF(SUMIFS(SDUD_NDC_data!$G$6:$G$742,SDUD_NDC_data!$D$6:$D$742,"MPSS",SDUD_NDC_data!$E$6:$E$742,$A78,SDUD_NDC_data!$B$6:$B$742,"2026")=0,0,SUMIFS(SDUD_NDC_data!$G$6:$G$742,SDUD_NDC_data!$D$6:$D$742,"MPSS",SDUD_NDC_data!$E$6:$E$742,$A78,SDUD_NDC_data!$B$6:$B$742,"2026",SDUD_NDC_data!$C$6:$C$742,"Hikma (West-Ward)")/SUMIFS(SDUD_NDC_data!$G$6:$G$742,SDUD_NDC_data!$D$6:$D$742,"MPSS",SDUD_NDC_data!$E$6:$E$742,$A78,SDUD_NDC_data!$B$6:$B$742,"2026"))</f>
        <v>0</v>
      </c>
      <c r="H78" s="2"/>
      <c r="I78" s="2"/>
      <c r="J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5" hidden="false" customHeight="false" outlineLevel="0" collapsed="false">
      <c r="A81" s="4" t="s">
        <v>741</v>
      </c>
      <c r="B81" s="2"/>
      <c r="C81" s="2"/>
      <c r="D81" s="2"/>
      <c r="E81" s="2"/>
      <c r="F81" s="2"/>
      <c r="G81" s="2"/>
      <c r="H81" s="2"/>
      <c r="I81" s="2"/>
      <c r="J81" s="2"/>
    </row>
    <row r="82" customFormat="false" ht="54" hidden="false" customHeight="true" outlineLevel="0" collapsed="false">
      <c r="A82" s="10" t="s">
        <v>581</v>
      </c>
      <c r="B82" s="10" t="s">
        <v>742</v>
      </c>
      <c r="C82" s="10" t="s">
        <v>743</v>
      </c>
      <c r="D82" s="10" t="s">
        <v>744</v>
      </c>
      <c r="E82" s="10" t="s">
        <v>745</v>
      </c>
      <c r="F82" s="10" t="s">
        <v>746</v>
      </c>
      <c r="G82" s="10" t="s">
        <v>747</v>
      </c>
      <c r="H82" s="10" t="s">
        <v>748</v>
      </c>
      <c r="I82" s="10" t="s">
        <v>749</v>
      </c>
      <c r="J82" s="2"/>
    </row>
    <row r="83" customFormat="false" ht="15" hidden="false" customHeight="false" outlineLevel="0" collapsed="false">
      <c r="A83" s="6" t="s">
        <v>601</v>
      </c>
      <c r="B83" s="23" t="n">
        <f aca="false">SUMIFS(SDUD_NDC_data!$G$6:$G$742,SDUD_NDC_data!$D$6:$D$742,"HSS",SDUD_NDC_data!$E$6:$E$742,$A83,SDUD_NDC_data!$B$6:$B$742,"2025")</f>
        <v>36146</v>
      </c>
      <c r="C83" s="50" t="n">
        <f aca="false">SUMIFS(SDUD_NDC_data!$H$6:$H$742,SDUD_NDC_data!$D$6:$D$742,"HSS",SDUD_NDC_data!$E$6:$E$742,$A83,SDUD_NDC_data!$B$6:$B$742,"2025")</f>
        <v>2419427.65</v>
      </c>
      <c r="D83" s="40" t="n">
        <f aca="false">B83/B$87</f>
        <v>0.968983727850307</v>
      </c>
      <c r="E83" s="40" t="n">
        <f aca="false">C83/C$87</f>
        <v>0.939520578154645</v>
      </c>
      <c r="F83" s="51" t="n">
        <f aca="false">Assumptions!$C$27</f>
        <v>1</v>
      </c>
      <c r="G83" s="51" t="n">
        <f aca="false">Assumptions!$C$27</f>
        <v>1</v>
      </c>
      <c r="H83" s="49" t="n">
        <f aca="false">B83*F83</f>
        <v>36146</v>
      </c>
      <c r="I83" s="49" t="n">
        <f aca="false">B83*G83</f>
        <v>36146</v>
      </c>
      <c r="J83" s="2"/>
    </row>
    <row r="84" customFormat="false" ht="15" hidden="false" customHeight="false" outlineLevel="0" collapsed="false">
      <c r="A84" s="6" t="s">
        <v>602</v>
      </c>
      <c r="B84" s="23" t="n">
        <f aca="false">SUMIFS(SDUD_NDC_data!$G$6:$G$742,SDUD_NDC_data!$D$6:$D$742,"HSS",SDUD_NDC_data!$E$6:$E$742,$A84,SDUD_NDC_data!$B$6:$B$742,"2025")</f>
        <v>980</v>
      </c>
      <c r="C84" s="50" t="n">
        <f aca="false">SUMIFS(SDUD_NDC_data!$H$6:$H$742,SDUD_NDC_data!$D$6:$D$742,"HSS",SDUD_NDC_data!$E$6:$E$742,$A84,SDUD_NDC_data!$B$6:$B$742,"2025")</f>
        <v>122783.1</v>
      </c>
      <c r="D84" s="40" t="n">
        <f aca="false">B84/B$87</f>
        <v>0.0262713454681929</v>
      </c>
      <c r="E84" s="40" t="n">
        <f aca="false">C84/C$87</f>
        <v>0.047679561362217</v>
      </c>
      <c r="F84" s="51" t="n">
        <f aca="false">Assumptions!$C$28</f>
        <v>2.5</v>
      </c>
      <c r="G84" s="51" t="n">
        <f aca="false">Assumptions!$C$29</f>
        <v>3</v>
      </c>
      <c r="H84" s="49" t="n">
        <f aca="false">B84*F84</f>
        <v>2450</v>
      </c>
      <c r="I84" s="49" t="n">
        <f aca="false">B84*G84</f>
        <v>2940</v>
      </c>
      <c r="J84" s="2"/>
    </row>
    <row r="85" customFormat="false" ht="15" hidden="false" customHeight="false" outlineLevel="0" collapsed="false">
      <c r="A85" s="6" t="s">
        <v>588</v>
      </c>
      <c r="B85" s="23" t="n">
        <f aca="false">SUMIFS(SDUD_NDC_data!$G$6:$G$742,SDUD_NDC_data!$D$6:$D$742,"HSS",SDUD_NDC_data!$E$6:$E$742,$A85,SDUD_NDC_data!$B$6:$B$742,"2025")</f>
        <v>16</v>
      </c>
      <c r="C85" s="50" t="n">
        <f aca="false">SUMIFS(SDUD_NDC_data!$H$6:$H$742,SDUD_NDC_data!$D$6:$D$742,"HSS",SDUD_NDC_data!$E$6:$E$742,$A85,SDUD_NDC_data!$B$6:$B$742,"2025")</f>
        <v>1239.82</v>
      </c>
      <c r="D85" s="40" t="n">
        <f aca="false">B85/B$87</f>
        <v>0.000428919926011313</v>
      </c>
      <c r="E85" s="40" t="n">
        <f aca="false">C85/C$87</f>
        <v>0.000481451223890779</v>
      </c>
      <c r="F85" s="51" t="n">
        <f aca="false">Assumptions!$C$30</f>
        <v>5</v>
      </c>
      <c r="G85" s="51" t="n">
        <f aca="false">Assumptions!$C$30</f>
        <v>5</v>
      </c>
      <c r="H85" s="49" t="n">
        <f aca="false">B85*F85</f>
        <v>80</v>
      </c>
      <c r="I85" s="49" t="n">
        <f aca="false">B85*G85</f>
        <v>80</v>
      </c>
      <c r="J85" s="2"/>
    </row>
    <row r="86" customFormat="false" ht="15" hidden="false" customHeight="false" outlineLevel="0" collapsed="false">
      <c r="A86" s="6" t="s">
        <v>600</v>
      </c>
      <c r="B86" s="23" t="n">
        <f aca="false">SUMIFS(SDUD_NDC_data!$G$6:$G$742,SDUD_NDC_data!$D$6:$D$742,"HSS",SDUD_NDC_data!$E$6:$E$742,$A86,SDUD_NDC_data!$B$6:$B$742,"2025")</f>
        <v>161</v>
      </c>
      <c r="C86" s="50" t="n">
        <f aca="false">SUMIFS(SDUD_NDC_data!$H$6:$H$742,SDUD_NDC_data!$D$6:$D$742,"HSS",SDUD_NDC_data!$E$6:$E$742,$A86,SDUD_NDC_data!$B$6:$B$742,"2025")</f>
        <v>31722.03</v>
      </c>
      <c r="D86" s="40" t="n">
        <f aca="false">B86/B$87</f>
        <v>0.00431600675548883</v>
      </c>
      <c r="E86" s="40" t="n">
        <f aca="false">C86/C$87</f>
        <v>0.0123184092592473</v>
      </c>
      <c r="F86" s="51" t="n">
        <f aca="false">Assumptions!$C$31</f>
        <v>10</v>
      </c>
      <c r="G86" s="51" t="n">
        <f aca="false">Assumptions!$C$31</f>
        <v>10</v>
      </c>
      <c r="H86" s="49" t="n">
        <f aca="false">B86*F86</f>
        <v>1610</v>
      </c>
      <c r="I86" s="49" t="n">
        <f aca="false">B86*G86</f>
        <v>1610</v>
      </c>
      <c r="J86" s="2"/>
    </row>
    <row r="87" customFormat="false" ht="15" hidden="false" customHeight="false" outlineLevel="0" collapsed="false">
      <c r="A87" s="47" t="s">
        <v>750</v>
      </c>
      <c r="B87" s="52" t="n">
        <f aca="false">SUM(B83:B86)</f>
        <v>37303</v>
      </c>
      <c r="C87" s="53" t="n">
        <f aca="false">SUM(C83:C86)</f>
        <v>2575172.6</v>
      </c>
      <c r="D87" s="54" t="n">
        <f aca="false">SUM(D83:D86)</f>
        <v>1</v>
      </c>
      <c r="E87" s="54" t="n">
        <f aca="false">SUM(E83:E86)</f>
        <v>1</v>
      </c>
      <c r="F87" s="2"/>
      <c r="G87" s="2"/>
      <c r="H87" s="52" t="n">
        <f aca="false">SUM(H83:H86)</f>
        <v>40286</v>
      </c>
      <c r="I87" s="52" t="n">
        <f aca="false">SUM(I83:I86)</f>
        <v>40776</v>
      </c>
      <c r="J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5" hidden="false" customHeight="false" outlineLevel="0" collapsed="false">
      <c r="A89" s="6" t="s">
        <v>751</v>
      </c>
      <c r="B89" s="52" t="n">
        <f aca="false">SUM(B84:B86)</f>
        <v>1157</v>
      </c>
      <c r="C89" s="2"/>
      <c r="D89" s="2"/>
      <c r="E89" s="2"/>
      <c r="F89" s="2"/>
      <c r="G89" s="2"/>
      <c r="H89" s="2"/>
      <c r="I89" s="2"/>
      <c r="J89" s="2"/>
    </row>
    <row r="90" customFormat="false" ht="15" hidden="false" customHeight="false" outlineLevel="0" collapsed="false">
      <c r="A90" s="6" t="s">
        <v>752</v>
      </c>
      <c r="B90" s="54" t="n">
        <f aca="false">SUM(D84:D86)</f>
        <v>0.0310162721496931</v>
      </c>
      <c r="C90" s="2"/>
      <c r="D90" s="2"/>
      <c r="E90" s="2"/>
      <c r="F90" s="2"/>
      <c r="G90" s="2"/>
      <c r="H90" s="2"/>
      <c r="I90" s="2"/>
      <c r="J90" s="2"/>
    </row>
    <row r="91" customFormat="false" ht="15" hidden="false" customHeight="false" outlineLevel="0" collapsed="false">
      <c r="A91" s="6" t="s">
        <v>753</v>
      </c>
      <c r="B91" s="54" t="n">
        <f aca="false">SUM(E84:E86)</f>
        <v>0.0604794218453552</v>
      </c>
      <c r="C91" s="2"/>
      <c r="D91" s="2"/>
      <c r="E91" s="2"/>
      <c r="F91" s="2"/>
      <c r="G91" s="2"/>
      <c r="H91" s="2"/>
      <c r="I91" s="2"/>
      <c r="J91" s="2"/>
    </row>
    <row r="92" customFormat="false" ht="15" hidden="false" customHeight="false" outlineLevel="0" collapsed="false">
      <c r="A92" s="6" t="s">
        <v>754</v>
      </c>
      <c r="B92" s="54" t="n">
        <f aca="false">1-H87/I87</f>
        <v>0.0120168726701981</v>
      </c>
      <c r="C92" s="2"/>
      <c r="D92" s="2"/>
      <c r="E92" s="2"/>
      <c r="F92" s="2"/>
      <c r="G92" s="2"/>
      <c r="H92" s="2"/>
      <c r="I92" s="2"/>
      <c r="J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Format="false" ht="15" hidden="false" customHeight="false" outlineLevel="0" collapsed="false">
      <c r="A94" s="39" t="s">
        <v>755</v>
      </c>
      <c r="B94" s="2"/>
      <c r="C94" s="2"/>
      <c r="D94" s="2"/>
      <c r="E94" s="2"/>
      <c r="F94" s="2"/>
      <c r="G94" s="2"/>
      <c r="H94" s="2"/>
      <c r="I94" s="2"/>
      <c r="J9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756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757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4" t="s">
        <v>758</v>
      </c>
      <c r="B4" s="2"/>
      <c r="C4" s="2"/>
      <c r="D4" s="2"/>
      <c r="E4" s="2"/>
      <c r="F4" s="2"/>
      <c r="G4" s="2"/>
      <c r="H4" s="2"/>
      <c r="I4" s="2"/>
    </row>
    <row r="5" customFormat="false" ht="23.85" hidden="false" customHeight="false" outlineLevel="0" collapsed="false">
      <c r="A5" s="10" t="s">
        <v>580</v>
      </c>
      <c r="B5" s="10" t="s">
        <v>759</v>
      </c>
      <c r="C5" s="10" t="s">
        <v>760</v>
      </c>
      <c r="D5" s="10" t="s">
        <v>761</v>
      </c>
      <c r="E5" s="10" t="s">
        <v>530</v>
      </c>
      <c r="F5" s="10" t="s">
        <v>762</v>
      </c>
      <c r="G5" s="10" t="s">
        <v>763</v>
      </c>
      <c r="H5" s="10" t="s">
        <v>764</v>
      </c>
      <c r="I5" s="2"/>
    </row>
    <row r="6" customFormat="false" ht="15" hidden="false" customHeight="false" outlineLevel="0" collapsed="false">
      <c r="A6" s="5" t="s">
        <v>599</v>
      </c>
      <c r="B6" s="5" t="s">
        <v>765</v>
      </c>
      <c r="C6" s="5" t="s">
        <v>766</v>
      </c>
      <c r="D6" s="5" t="s">
        <v>708</v>
      </c>
      <c r="E6" s="5" t="s">
        <v>767</v>
      </c>
      <c r="F6" s="46" t="n">
        <v>4575.61</v>
      </c>
      <c r="G6" s="45" t="n">
        <v>336</v>
      </c>
      <c r="H6" s="24" t="n">
        <v>110</v>
      </c>
      <c r="I6" s="2"/>
    </row>
    <row r="7" customFormat="false" ht="15" hidden="false" customHeight="false" outlineLevel="0" collapsed="false">
      <c r="A7" s="5" t="s">
        <v>599</v>
      </c>
      <c r="B7" s="5" t="s">
        <v>768</v>
      </c>
      <c r="C7" s="5" t="s">
        <v>769</v>
      </c>
      <c r="D7" s="5" t="s">
        <v>770</v>
      </c>
      <c r="E7" s="5" t="s">
        <v>432</v>
      </c>
      <c r="F7" s="46" t="n">
        <v>989904.71</v>
      </c>
      <c r="G7" s="45" t="n">
        <v>100019.85</v>
      </c>
      <c r="H7" s="24" t="n">
        <v>13384</v>
      </c>
      <c r="I7" s="2"/>
    </row>
    <row r="8" customFormat="false" ht="15" hidden="false" customHeight="false" outlineLevel="0" collapsed="false">
      <c r="A8" s="5" t="s">
        <v>599</v>
      </c>
      <c r="B8" s="5" t="s">
        <v>768</v>
      </c>
      <c r="C8" s="5" t="s">
        <v>771</v>
      </c>
      <c r="D8" s="5" t="s">
        <v>770</v>
      </c>
      <c r="E8" s="5" t="s">
        <v>432</v>
      </c>
      <c r="F8" s="46" t="n">
        <v>123492.13</v>
      </c>
      <c r="G8" s="45" t="n">
        <v>10275.5</v>
      </c>
      <c r="H8" s="24" t="n">
        <v>1790</v>
      </c>
      <c r="I8" s="2"/>
    </row>
    <row r="9" customFormat="false" ht="15" hidden="false" customHeight="false" outlineLevel="0" collapsed="false">
      <c r="A9" s="5" t="s">
        <v>620</v>
      </c>
      <c r="B9" s="5" t="s">
        <v>772</v>
      </c>
      <c r="C9" s="5" t="s">
        <v>771</v>
      </c>
      <c r="D9" s="5" t="s">
        <v>770</v>
      </c>
      <c r="E9" s="5" t="s">
        <v>432</v>
      </c>
      <c r="F9" s="46" t="n">
        <v>25135.02</v>
      </c>
      <c r="G9" s="45" t="n">
        <v>1730</v>
      </c>
      <c r="H9" s="24" t="n">
        <v>914</v>
      </c>
      <c r="I9" s="2"/>
    </row>
    <row r="10" customFormat="false" ht="15" hidden="false" customHeight="false" outlineLevel="0" collapsed="false">
      <c r="A10" s="5" t="s">
        <v>620</v>
      </c>
      <c r="B10" s="5" t="s">
        <v>773</v>
      </c>
      <c r="C10" s="5" t="s">
        <v>774</v>
      </c>
      <c r="D10" s="5" t="s">
        <v>700</v>
      </c>
      <c r="E10" s="5" t="s">
        <v>767</v>
      </c>
      <c r="F10" s="46" t="n">
        <v>374.9</v>
      </c>
      <c r="G10" s="45" t="n">
        <v>25</v>
      </c>
      <c r="H10" s="24" t="n">
        <v>22</v>
      </c>
      <c r="I10" s="2"/>
    </row>
    <row r="11" customFormat="false" ht="15" hidden="false" customHeight="false" outlineLevel="0" collapsed="false">
      <c r="A11" s="5" t="s">
        <v>620</v>
      </c>
      <c r="B11" s="5" t="s">
        <v>773</v>
      </c>
      <c r="C11" s="5" t="s">
        <v>775</v>
      </c>
      <c r="D11" s="5" t="s">
        <v>700</v>
      </c>
      <c r="E11" s="5" t="s">
        <v>767</v>
      </c>
      <c r="F11" s="46" t="n">
        <v>182378.26</v>
      </c>
      <c r="G11" s="45" t="n">
        <v>16180.5</v>
      </c>
      <c r="H11" s="24" t="n">
        <v>10398</v>
      </c>
      <c r="I11" s="2"/>
    </row>
    <row r="12" customFormat="false" ht="15" hidden="false" customHeight="false" outlineLevel="0" collapsed="false">
      <c r="A12" s="5" t="s">
        <v>620</v>
      </c>
      <c r="B12" s="5" t="s">
        <v>773</v>
      </c>
      <c r="C12" s="5" t="s">
        <v>776</v>
      </c>
      <c r="D12" s="5" t="s">
        <v>700</v>
      </c>
      <c r="E12" s="5" t="s">
        <v>767</v>
      </c>
      <c r="F12" s="46" t="n">
        <v>10316.2</v>
      </c>
      <c r="G12" s="45" t="n">
        <v>961</v>
      </c>
      <c r="H12" s="24" t="n">
        <v>583</v>
      </c>
      <c r="I12" s="2"/>
    </row>
    <row r="13" customFormat="false" ht="15" hidden="false" customHeight="false" outlineLevel="0" collapsed="false">
      <c r="A13" s="5" t="s">
        <v>620</v>
      </c>
      <c r="B13" s="5" t="s">
        <v>773</v>
      </c>
      <c r="C13" s="5" t="s">
        <v>777</v>
      </c>
      <c r="D13" s="5" t="s">
        <v>778</v>
      </c>
      <c r="E13" s="5" t="s">
        <v>767</v>
      </c>
      <c r="F13" s="46" t="n">
        <v>2932.95</v>
      </c>
      <c r="G13" s="45" t="n">
        <v>437</v>
      </c>
      <c r="H13" s="24" t="n">
        <v>48</v>
      </c>
      <c r="I13" s="2"/>
    </row>
    <row r="14" customFormat="false" ht="15" hidden="false" customHeight="false" outlineLevel="0" collapsed="false">
      <c r="A14" s="5" t="s">
        <v>620</v>
      </c>
      <c r="B14" s="5" t="s">
        <v>773</v>
      </c>
      <c r="C14" s="5" t="s">
        <v>779</v>
      </c>
      <c r="D14" s="5" t="s">
        <v>684</v>
      </c>
      <c r="E14" s="5" t="s">
        <v>767</v>
      </c>
      <c r="F14" s="46" t="n">
        <v>11266.13</v>
      </c>
      <c r="G14" s="45" t="n">
        <v>1724</v>
      </c>
      <c r="H14" s="24" t="n">
        <v>249</v>
      </c>
      <c r="I14" s="2"/>
    </row>
    <row r="15" customFormat="false" ht="15" hidden="false" customHeight="false" outlineLevel="0" collapsed="false">
      <c r="A15" s="5" t="s">
        <v>620</v>
      </c>
      <c r="B15" s="5" t="s">
        <v>773</v>
      </c>
      <c r="C15" s="5" t="s">
        <v>668</v>
      </c>
      <c r="D15" s="5" t="s">
        <v>668</v>
      </c>
      <c r="E15" s="5" t="s">
        <v>767</v>
      </c>
      <c r="F15" s="46" t="n">
        <v>13189.24</v>
      </c>
      <c r="G15" s="45" t="n">
        <v>1192</v>
      </c>
      <c r="H15" s="24" t="n">
        <v>220</v>
      </c>
      <c r="I15" s="2"/>
    </row>
    <row r="16" customFormat="false" ht="15" hidden="false" customHeight="false" outlineLevel="0" collapsed="false">
      <c r="A16" s="5" t="s">
        <v>587</v>
      </c>
      <c r="B16" s="5" t="s">
        <v>780</v>
      </c>
      <c r="C16" s="5" t="s">
        <v>775</v>
      </c>
      <c r="D16" s="5" t="s">
        <v>700</v>
      </c>
      <c r="E16" s="5" t="s">
        <v>767</v>
      </c>
      <c r="F16" s="46" t="n">
        <v>289.91</v>
      </c>
      <c r="G16" s="45" t="n">
        <v>51</v>
      </c>
      <c r="H16" s="24" t="n">
        <v>13</v>
      </c>
      <c r="I16" s="2"/>
    </row>
    <row r="17" customFormat="false" ht="15" hidden="false" customHeight="false" outlineLevel="0" collapsed="false">
      <c r="A17" s="5" t="s">
        <v>587</v>
      </c>
      <c r="B17" s="5" t="s">
        <v>780</v>
      </c>
      <c r="C17" s="5" t="s">
        <v>781</v>
      </c>
      <c r="D17" s="5" t="s">
        <v>704</v>
      </c>
      <c r="E17" s="5" t="s">
        <v>767</v>
      </c>
      <c r="F17" s="46" t="n">
        <v>136560.03</v>
      </c>
      <c r="G17" s="45" t="n">
        <v>26220.38</v>
      </c>
      <c r="H17" s="24" t="n">
        <v>2155</v>
      </c>
      <c r="I17" s="2"/>
    </row>
    <row r="18" customFormat="false" ht="15" hidden="false" customHeight="false" outlineLevel="0" collapsed="false">
      <c r="A18" s="5" t="s">
        <v>587</v>
      </c>
      <c r="B18" s="5" t="s">
        <v>780</v>
      </c>
      <c r="C18" s="5" t="s">
        <v>782</v>
      </c>
      <c r="D18" s="5" t="s">
        <v>693</v>
      </c>
      <c r="E18" s="5" t="s">
        <v>767</v>
      </c>
      <c r="F18" s="46" t="n">
        <v>185629.56</v>
      </c>
      <c r="G18" s="45" t="n">
        <v>43660.89</v>
      </c>
      <c r="H18" s="24" t="n">
        <v>8141</v>
      </c>
      <c r="I18" s="2"/>
    </row>
    <row r="19" customFormat="false" ht="15" hidden="false" customHeight="false" outlineLevel="0" collapsed="false">
      <c r="A19" s="5" t="s">
        <v>587</v>
      </c>
      <c r="B19" s="5" t="s">
        <v>780</v>
      </c>
      <c r="C19" s="5" t="s">
        <v>704</v>
      </c>
      <c r="D19" s="5" t="s">
        <v>704</v>
      </c>
      <c r="E19" s="5" t="s">
        <v>767</v>
      </c>
      <c r="F19" s="46" t="n">
        <v>91026.81</v>
      </c>
      <c r="G19" s="45" t="n">
        <v>12681.055</v>
      </c>
      <c r="H19" s="24" t="n">
        <v>5389</v>
      </c>
      <c r="I19" s="2"/>
    </row>
    <row r="20" customFormat="false" ht="15" hidden="false" customHeight="false" outlineLevel="0" collapsed="false">
      <c r="A20" s="5" t="s">
        <v>587</v>
      </c>
      <c r="B20" s="5" t="s">
        <v>780</v>
      </c>
      <c r="C20" s="5" t="s">
        <v>783</v>
      </c>
      <c r="D20" s="5" t="s">
        <v>784</v>
      </c>
      <c r="E20" s="5" t="s">
        <v>767</v>
      </c>
      <c r="F20" s="46" t="n">
        <v>3786.78</v>
      </c>
      <c r="G20" s="45" t="n">
        <v>770.4</v>
      </c>
      <c r="H20" s="24" t="n">
        <v>334</v>
      </c>
      <c r="I20" s="2"/>
    </row>
    <row r="21" customFormat="false" ht="15" hidden="false" customHeight="false" outlineLevel="0" collapsed="false">
      <c r="A21" s="5" t="s">
        <v>587</v>
      </c>
      <c r="B21" s="5" t="s">
        <v>780</v>
      </c>
      <c r="C21" s="5" t="s">
        <v>785</v>
      </c>
      <c r="D21" s="5" t="s">
        <v>784</v>
      </c>
      <c r="E21" s="5" t="s">
        <v>767</v>
      </c>
      <c r="F21" s="46" t="n">
        <v>18378.41</v>
      </c>
      <c r="G21" s="45" t="n">
        <v>10113.5</v>
      </c>
      <c r="H21" s="24" t="n">
        <v>366</v>
      </c>
      <c r="I21" s="2"/>
    </row>
    <row r="22" customFormat="false" ht="15" hidden="false" customHeight="false" outlineLevel="0" collapsed="false">
      <c r="A22" s="5" t="s">
        <v>587</v>
      </c>
      <c r="B22" s="5" t="s">
        <v>786</v>
      </c>
      <c r="C22" s="5" t="s">
        <v>787</v>
      </c>
      <c r="D22" s="5" t="s">
        <v>770</v>
      </c>
      <c r="E22" s="5" t="s">
        <v>432</v>
      </c>
      <c r="F22" s="46" t="n">
        <v>2100.81</v>
      </c>
      <c r="G22" s="45" t="n">
        <v>1543</v>
      </c>
      <c r="H22" s="24" t="n">
        <v>22</v>
      </c>
      <c r="I22" s="2"/>
    </row>
    <row r="23" customFormat="false" ht="15" hidden="false" customHeight="false" outlineLevel="0" collapsed="false">
      <c r="A23" s="5" t="s">
        <v>587</v>
      </c>
      <c r="B23" s="5" t="s">
        <v>786</v>
      </c>
      <c r="C23" s="5" t="s">
        <v>771</v>
      </c>
      <c r="D23" s="5" t="s">
        <v>770</v>
      </c>
      <c r="E23" s="5" t="s">
        <v>432</v>
      </c>
      <c r="F23" s="46" t="n">
        <v>16836.33</v>
      </c>
      <c r="G23" s="45" t="n">
        <v>1911.1</v>
      </c>
      <c r="H23" s="24" t="n">
        <v>205</v>
      </c>
      <c r="I23" s="2"/>
    </row>
    <row r="24" customFormat="false" ht="15" hidden="false" customHeight="false" outlineLevel="0" collapsed="false">
      <c r="A24" s="5" t="s">
        <v>587</v>
      </c>
      <c r="B24" s="5" t="s">
        <v>788</v>
      </c>
      <c r="C24" s="5" t="s">
        <v>789</v>
      </c>
      <c r="D24" s="5" t="s">
        <v>770</v>
      </c>
      <c r="E24" s="5" t="s">
        <v>432</v>
      </c>
      <c r="F24" s="46" t="n">
        <v>322452.65</v>
      </c>
      <c r="G24" s="45" t="n">
        <v>42712.901</v>
      </c>
      <c r="H24" s="24" t="n">
        <v>13674</v>
      </c>
      <c r="I24" s="2"/>
    </row>
    <row r="25" customFormat="false" ht="15" hidden="false" customHeight="false" outlineLevel="0" collapsed="false">
      <c r="A25" s="5" t="s">
        <v>587</v>
      </c>
      <c r="B25" s="5" t="s">
        <v>788</v>
      </c>
      <c r="C25" s="5" t="s">
        <v>790</v>
      </c>
      <c r="D25" s="5" t="s">
        <v>770</v>
      </c>
      <c r="E25" s="5" t="s">
        <v>432</v>
      </c>
      <c r="F25" s="46" t="n">
        <v>3883.96</v>
      </c>
      <c r="G25" s="45" t="n">
        <v>432</v>
      </c>
      <c r="H25" s="24" t="n">
        <v>248</v>
      </c>
      <c r="I25" s="2"/>
    </row>
    <row r="26" customFormat="false" ht="15" hidden="false" customHeight="false" outlineLevel="0" collapsed="false">
      <c r="A26" s="5" t="s">
        <v>587</v>
      </c>
      <c r="B26" s="5" t="s">
        <v>788</v>
      </c>
      <c r="C26" s="5" t="s">
        <v>787</v>
      </c>
      <c r="D26" s="5" t="s">
        <v>770</v>
      </c>
      <c r="E26" s="5" t="s">
        <v>432</v>
      </c>
      <c r="F26" s="46" t="n">
        <v>3632.57</v>
      </c>
      <c r="G26" s="45" t="n">
        <v>579</v>
      </c>
      <c r="H26" s="24" t="n">
        <v>169</v>
      </c>
      <c r="I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4" t="s">
        <v>791</v>
      </c>
      <c r="B29" s="2"/>
      <c r="C29" s="2"/>
      <c r="D29" s="2"/>
      <c r="E29" s="2"/>
      <c r="F29" s="2"/>
      <c r="G29" s="2"/>
      <c r="H29" s="2"/>
      <c r="I29" s="2"/>
    </row>
    <row r="30" customFormat="false" ht="23.85" hidden="false" customHeight="false" outlineLevel="0" collapsed="false">
      <c r="A30" s="10" t="s">
        <v>580</v>
      </c>
      <c r="B30" s="10" t="s">
        <v>759</v>
      </c>
      <c r="C30" s="10" t="s">
        <v>760</v>
      </c>
      <c r="D30" s="10" t="s">
        <v>761</v>
      </c>
      <c r="E30" s="10" t="s">
        <v>530</v>
      </c>
      <c r="F30" s="10" t="s">
        <v>762</v>
      </c>
      <c r="G30" s="10" t="s">
        <v>763</v>
      </c>
      <c r="H30" s="10" t="s">
        <v>764</v>
      </c>
      <c r="I30" s="2"/>
    </row>
    <row r="31" customFormat="false" ht="15" hidden="false" customHeight="false" outlineLevel="0" collapsed="false">
      <c r="A31" s="5" t="s">
        <v>599</v>
      </c>
      <c r="B31" s="5" t="s">
        <v>765</v>
      </c>
      <c r="C31" s="5" t="s">
        <v>766</v>
      </c>
      <c r="D31" s="5" t="s">
        <v>708</v>
      </c>
      <c r="E31" s="5" t="s">
        <v>767</v>
      </c>
      <c r="F31" s="46" t="n">
        <v>14610.12</v>
      </c>
      <c r="G31" s="45" t="n">
        <v>262</v>
      </c>
      <c r="H31" s="24" t="n">
        <v>145</v>
      </c>
      <c r="I31" s="2"/>
    </row>
    <row r="32" customFormat="false" ht="15" hidden="false" customHeight="false" outlineLevel="0" collapsed="false">
      <c r="A32" s="5" t="s">
        <v>599</v>
      </c>
      <c r="B32" s="5" t="s">
        <v>768</v>
      </c>
      <c r="C32" s="5" t="s">
        <v>769</v>
      </c>
      <c r="D32" s="5" t="s">
        <v>770</v>
      </c>
      <c r="E32" s="5" t="s">
        <v>432</v>
      </c>
      <c r="F32" s="46" t="n">
        <v>3382163.16</v>
      </c>
      <c r="G32" s="45" t="n">
        <v>71183.757</v>
      </c>
      <c r="H32" s="24" t="n">
        <v>31029</v>
      </c>
      <c r="I32" s="2"/>
    </row>
    <row r="33" customFormat="false" ht="15" hidden="false" customHeight="false" outlineLevel="0" collapsed="false">
      <c r="A33" s="5" t="s">
        <v>599</v>
      </c>
      <c r="B33" s="5" t="s">
        <v>768</v>
      </c>
      <c r="C33" s="5" t="s">
        <v>771</v>
      </c>
      <c r="D33" s="5" t="s">
        <v>770</v>
      </c>
      <c r="E33" s="5" t="s">
        <v>432</v>
      </c>
      <c r="F33" s="46" t="n">
        <v>702861.71</v>
      </c>
      <c r="G33" s="45" t="n">
        <v>10843</v>
      </c>
      <c r="H33" s="24" t="n">
        <v>6607</v>
      </c>
      <c r="I33" s="2"/>
    </row>
    <row r="34" customFormat="false" ht="15" hidden="false" customHeight="false" outlineLevel="0" collapsed="false">
      <c r="A34" s="5" t="s">
        <v>620</v>
      </c>
      <c r="B34" s="5" t="s">
        <v>772</v>
      </c>
      <c r="C34" s="5" t="s">
        <v>790</v>
      </c>
      <c r="D34" s="5" t="s">
        <v>770</v>
      </c>
      <c r="E34" s="5" t="s">
        <v>432</v>
      </c>
      <c r="F34" s="46" t="n">
        <v>421617.12</v>
      </c>
      <c r="G34" s="45" t="n">
        <v>37174.879</v>
      </c>
      <c r="H34" s="24" t="n">
        <v>12325</v>
      </c>
      <c r="I34" s="2"/>
    </row>
    <row r="35" customFormat="false" ht="15" hidden="false" customHeight="false" outlineLevel="0" collapsed="false">
      <c r="A35" s="5" t="s">
        <v>620</v>
      </c>
      <c r="B35" s="5" t="s">
        <v>772</v>
      </c>
      <c r="C35" s="5" t="s">
        <v>771</v>
      </c>
      <c r="D35" s="5" t="s">
        <v>770</v>
      </c>
      <c r="E35" s="5" t="s">
        <v>432</v>
      </c>
      <c r="F35" s="46" t="n">
        <v>5318737.76</v>
      </c>
      <c r="G35" s="45" t="n">
        <v>509159.488</v>
      </c>
      <c r="H35" s="24" t="n">
        <v>282650</v>
      </c>
      <c r="I35" s="2"/>
    </row>
    <row r="36" customFormat="false" ht="15" hidden="false" customHeight="false" outlineLevel="0" collapsed="false">
      <c r="A36" s="5" t="s">
        <v>620</v>
      </c>
      <c r="B36" s="5" t="s">
        <v>773</v>
      </c>
      <c r="C36" s="5" t="s">
        <v>774</v>
      </c>
      <c r="D36" s="5" t="s">
        <v>700</v>
      </c>
      <c r="E36" s="5" t="s">
        <v>767</v>
      </c>
      <c r="F36" s="46" t="n">
        <v>124182.08</v>
      </c>
      <c r="G36" s="45" t="n">
        <v>11910.378</v>
      </c>
      <c r="H36" s="24" t="n">
        <v>6446</v>
      </c>
      <c r="I36" s="2"/>
    </row>
    <row r="37" customFormat="false" ht="15" hidden="false" customHeight="false" outlineLevel="0" collapsed="false">
      <c r="A37" s="5" t="s">
        <v>620</v>
      </c>
      <c r="B37" s="5" t="s">
        <v>773</v>
      </c>
      <c r="C37" s="5" t="s">
        <v>775</v>
      </c>
      <c r="D37" s="5" t="s">
        <v>700</v>
      </c>
      <c r="E37" s="5" t="s">
        <v>767</v>
      </c>
      <c r="F37" s="46" t="n">
        <v>2085182.26</v>
      </c>
      <c r="G37" s="45" t="n">
        <v>231614.181</v>
      </c>
      <c r="H37" s="24" t="n">
        <v>125503</v>
      </c>
      <c r="I37" s="2"/>
    </row>
    <row r="38" customFormat="false" ht="15" hidden="false" customHeight="false" outlineLevel="0" collapsed="false">
      <c r="A38" s="5" t="s">
        <v>620</v>
      </c>
      <c r="B38" s="5" t="s">
        <v>773</v>
      </c>
      <c r="C38" s="5" t="s">
        <v>776</v>
      </c>
      <c r="D38" s="5" t="s">
        <v>700</v>
      </c>
      <c r="E38" s="5" t="s">
        <v>767</v>
      </c>
      <c r="F38" s="46" t="n">
        <v>115197.14</v>
      </c>
      <c r="G38" s="45" t="n">
        <v>9458.193</v>
      </c>
      <c r="H38" s="24" t="n">
        <v>6503</v>
      </c>
      <c r="I38" s="2"/>
    </row>
    <row r="39" customFormat="false" ht="15" hidden="false" customHeight="false" outlineLevel="0" collapsed="false">
      <c r="A39" s="5" t="s">
        <v>620</v>
      </c>
      <c r="B39" s="5" t="s">
        <v>773</v>
      </c>
      <c r="C39" s="5" t="s">
        <v>777</v>
      </c>
      <c r="D39" s="5" t="s">
        <v>778</v>
      </c>
      <c r="E39" s="5" t="s">
        <v>767</v>
      </c>
      <c r="F39" s="46" t="n">
        <v>42261.58</v>
      </c>
      <c r="G39" s="45" t="n">
        <v>11542.53</v>
      </c>
      <c r="H39" s="24" t="n">
        <v>3569</v>
      </c>
      <c r="I39" s="2"/>
    </row>
    <row r="40" customFormat="false" ht="15" hidden="false" customHeight="false" outlineLevel="0" collapsed="false">
      <c r="A40" s="5" t="s">
        <v>620</v>
      </c>
      <c r="B40" s="5" t="s">
        <v>773</v>
      </c>
      <c r="C40" s="5" t="s">
        <v>792</v>
      </c>
      <c r="D40" s="5" t="s">
        <v>793</v>
      </c>
      <c r="E40" s="5" t="s">
        <v>767</v>
      </c>
      <c r="F40" s="46" t="n">
        <v>2180.8</v>
      </c>
      <c r="G40" s="45" t="n">
        <v>384.588</v>
      </c>
      <c r="H40" s="24" t="n">
        <v>67</v>
      </c>
      <c r="I40" s="2"/>
    </row>
    <row r="41" customFormat="false" ht="15" hidden="false" customHeight="false" outlineLevel="0" collapsed="false">
      <c r="A41" s="5" t="s">
        <v>620</v>
      </c>
      <c r="B41" s="5" t="s">
        <v>773</v>
      </c>
      <c r="C41" s="5" t="s">
        <v>794</v>
      </c>
      <c r="D41" s="5" t="s">
        <v>795</v>
      </c>
      <c r="E41" s="5" t="s">
        <v>767</v>
      </c>
      <c r="F41" s="46" t="n">
        <v>110485.35</v>
      </c>
      <c r="G41" s="45" t="n">
        <v>68309.632</v>
      </c>
      <c r="H41" s="24" t="n">
        <v>7270</v>
      </c>
      <c r="I41" s="2"/>
    </row>
    <row r="42" customFormat="false" ht="15" hidden="false" customHeight="false" outlineLevel="0" collapsed="false">
      <c r="A42" s="5" t="s">
        <v>620</v>
      </c>
      <c r="B42" s="5" t="s">
        <v>773</v>
      </c>
      <c r="C42" s="5" t="s">
        <v>779</v>
      </c>
      <c r="D42" s="5" t="s">
        <v>684</v>
      </c>
      <c r="E42" s="5" t="s">
        <v>767</v>
      </c>
      <c r="F42" s="46" t="n">
        <v>442217.47</v>
      </c>
      <c r="G42" s="45" t="n">
        <v>59973.859</v>
      </c>
      <c r="H42" s="24" t="n">
        <v>27757</v>
      </c>
      <c r="I42" s="2"/>
    </row>
    <row r="43" customFormat="false" ht="15" hidden="false" customHeight="false" outlineLevel="0" collapsed="false">
      <c r="A43" s="5" t="s">
        <v>620</v>
      </c>
      <c r="B43" s="5" t="s">
        <v>773</v>
      </c>
      <c r="C43" s="5" t="s">
        <v>668</v>
      </c>
      <c r="D43" s="5" t="s">
        <v>668</v>
      </c>
      <c r="E43" s="5" t="s">
        <v>767</v>
      </c>
      <c r="F43" s="46" t="n">
        <v>25934.39</v>
      </c>
      <c r="G43" s="45" t="n">
        <v>5070.551</v>
      </c>
      <c r="H43" s="24" t="n">
        <v>2052</v>
      </c>
      <c r="I43" s="2"/>
    </row>
    <row r="44" customFormat="false" ht="15" hidden="false" customHeight="false" outlineLevel="0" collapsed="false">
      <c r="A44" s="5" t="s">
        <v>620</v>
      </c>
      <c r="B44" s="5" t="s">
        <v>773</v>
      </c>
      <c r="C44" s="5" t="s">
        <v>796</v>
      </c>
      <c r="D44" s="5" t="s">
        <v>660</v>
      </c>
      <c r="E44" s="5" t="s">
        <v>767</v>
      </c>
      <c r="F44" s="46" t="n">
        <v>174020.09</v>
      </c>
      <c r="G44" s="45" t="n">
        <v>16634.543</v>
      </c>
      <c r="H44" s="24" t="n">
        <v>5094</v>
      </c>
      <c r="I44" s="2"/>
    </row>
    <row r="45" customFormat="false" ht="15" hidden="false" customHeight="false" outlineLevel="0" collapsed="false">
      <c r="A45" s="5" t="s">
        <v>587</v>
      </c>
      <c r="B45" s="5" t="s">
        <v>797</v>
      </c>
      <c r="C45" s="5" t="s">
        <v>798</v>
      </c>
      <c r="D45" s="5" t="s">
        <v>793</v>
      </c>
      <c r="E45" s="5" t="s">
        <v>767</v>
      </c>
      <c r="F45" s="46" t="n">
        <v>344.26</v>
      </c>
      <c r="G45" s="45" t="n">
        <v>12</v>
      </c>
      <c r="H45" s="24" t="n">
        <v>11</v>
      </c>
      <c r="I45" s="2"/>
    </row>
    <row r="46" customFormat="false" ht="15" hidden="false" customHeight="false" outlineLevel="0" collapsed="false">
      <c r="A46" s="5" t="s">
        <v>587</v>
      </c>
      <c r="B46" s="5" t="s">
        <v>780</v>
      </c>
      <c r="C46" s="5" t="s">
        <v>775</v>
      </c>
      <c r="D46" s="5" t="s">
        <v>700</v>
      </c>
      <c r="E46" s="5" t="s">
        <v>767</v>
      </c>
      <c r="F46" s="46" t="n">
        <v>47644.26</v>
      </c>
      <c r="G46" s="45" t="n">
        <v>1571.89</v>
      </c>
      <c r="H46" s="24" t="n">
        <v>456</v>
      </c>
      <c r="I46" s="2"/>
    </row>
    <row r="47" customFormat="false" ht="15" hidden="false" customHeight="false" outlineLevel="0" collapsed="false">
      <c r="A47" s="5" t="s">
        <v>587</v>
      </c>
      <c r="B47" s="5" t="s">
        <v>780</v>
      </c>
      <c r="C47" s="5" t="s">
        <v>781</v>
      </c>
      <c r="D47" s="5" t="s">
        <v>704</v>
      </c>
      <c r="E47" s="5" t="s">
        <v>767</v>
      </c>
      <c r="F47" s="46" t="n">
        <v>409805.15</v>
      </c>
      <c r="G47" s="45" t="n">
        <v>15190.821</v>
      </c>
      <c r="H47" s="24" t="n">
        <v>3972</v>
      </c>
      <c r="I47" s="2"/>
    </row>
    <row r="48" customFormat="false" ht="15" hidden="false" customHeight="false" outlineLevel="0" collapsed="false">
      <c r="A48" s="5" t="s">
        <v>587</v>
      </c>
      <c r="B48" s="5" t="s">
        <v>780</v>
      </c>
      <c r="C48" s="5" t="s">
        <v>782</v>
      </c>
      <c r="D48" s="5" t="s">
        <v>693</v>
      </c>
      <c r="E48" s="5" t="s">
        <v>767</v>
      </c>
      <c r="F48" s="46" t="n">
        <v>3981195.67</v>
      </c>
      <c r="G48" s="45" t="n">
        <v>52288.699</v>
      </c>
      <c r="H48" s="24" t="n">
        <v>24314</v>
      </c>
      <c r="I48" s="2"/>
    </row>
    <row r="49" customFormat="false" ht="15" hidden="false" customHeight="false" outlineLevel="0" collapsed="false">
      <c r="A49" s="5" t="s">
        <v>587</v>
      </c>
      <c r="B49" s="5" t="s">
        <v>780</v>
      </c>
      <c r="C49" s="5" t="s">
        <v>704</v>
      </c>
      <c r="D49" s="5" t="s">
        <v>704</v>
      </c>
      <c r="E49" s="5" t="s">
        <v>767</v>
      </c>
      <c r="F49" s="46" t="n">
        <v>3907469.33</v>
      </c>
      <c r="G49" s="45" t="n">
        <v>39520.653</v>
      </c>
      <c r="H49" s="24" t="n">
        <v>30858</v>
      </c>
      <c r="I49" s="2"/>
    </row>
    <row r="50" customFormat="false" ht="15" hidden="false" customHeight="false" outlineLevel="0" collapsed="false">
      <c r="A50" s="5" t="s">
        <v>587</v>
      </c>
      <c r="B50" s="5" t="s">
        <v>780</v>
      </c>
      <c r="C50" s="5" t="s">
        <v>783</v>
      </c>
      <c r="D50" s="5" t="s">
        <v>784</v>
      </c>
      <c r="E50" s="5" t="s">
        <v>767</v>
      </c>
      <c r="F50" s="46" t="n">
        <v>573917.91</v>
      </c>
      <c r="G50" s="45" t="n">
        <v>16887.125</v>
      </c>
      <c r="H50" s="24" t="n">
        <v>6174</v>
      </c>
      <c r="I50" s="2"/>
    </row>
    <row r="51" customFormat="false" ht="15" hidden="false" customHeight="false" outlineLevel="0" collapsed="false">
      <c r="A51" s="5" t="s">
        <v>587</v>
      </c>
      <c r="B51" s="5" t="s">
        <v>780</v>
      </c>
      <c r="C51" s="5" t="s">
        <v>799</v>
      </c>
      <c r="D51" s="5" t="s">
        <v>684</v>
      </c>
      <c r="E51" s="5" t="s">
        <v>767</v>
      </c>
      <c r="F51" s="46" t="n">
        <v>3309.39</v>
      </c>
      <c r="G51" s="45" t="n">
        <v>585.37</v>
      </c>
      <c r="H51" s="24" t="n">
        <v>359</v>
      </c>
      <c r="I51" s="2"/>
    </row>
    <row r="52" customFormat="false" ht="15" hidden="false" customHeight="false" outlineLevel="0" collapsed="false">
      <c r="A52" s="5" t="s">
        <v>587</v>
      </c>
      <c r="B52" s="5" t="s">
        <v>780</v>
      </c>
      <c r="C52" s="5" t="s">
        <v>785</v>
      </c>
      <c r="D52" s="5" t="s">
        <v>784</v>
      </c>
      <c r="E52" s="5" t="s">
        <v>767</v>
      </c>
      <c r="F52" s="46" t="n">
        <v>29449.42</v>
      </c>
      <c r="G52" s="45" t="n">
        <v>7804.826</v>
      </c>
      <c r="H52" s="24" t="n">
        <v>625</v>
      </c>
      <c r="I52" s="2"/>
    </row>
    <row r="53" customFormat="false" ht="15" hidden="false" customHeight="false" outlineLevel="0" collapsed="false">
      <c r="A53" s="5" t="s">
        <v>587</v>
      </c>
      <c r="B53" s="5" t="s">
        <v>788</v>
      </c>
      <c r="C53" s="5" t="s">
        <v>789</v>
      </c>
      <c r="D53" s="5" t="s">
        <v>770</v>
      </c>
      <c r="E53" s="5" t="s">
        <v>432</v>
      </c>
      <c r="F53" s="46" t="n">
        <v>19569133.07</v>
      </c>
      <c r="G53" s="45" t="n">
        <v>307521.567</v>
      </c>
      <c r="H53" s="24" t="n">
        <v>219471</v>
      </c>
      <c r="I53" s="2"/>
    </row>
    <row r="54" customFormat="false" ht="15" hidden="false" customHeight="false" outlineLevel="0" collapsed="false">
      <c r="A54" s="5" t="s">
        <v>587</v>
      </c>
      <c r="B54" s="5" t="s">
        <v>788</v>
      </c>
      <c r="C54" s="5" t="s">
        <v>790</v>
      </c>
      <c r="D54" s="5" t="s">
        <v>770</v>
      </c>
      <c r="E54" s="5" t="s">
        <v>432</v>
      </c>
      <c r="F54" s="46" t="n">
        <v>1311259.25</v>
      </c>
      <c r="G54" s="45" t="n">
        <v>22982.138</v>
      </c>
      <c r="H54" s="24" t="n">
        <v>15331</v>
      </c>
      <c r="I54" s="2"/>
    </row>
    <row r="55" customFormat="false" ht="15" hidden="false" customHeight="false" outlineLevel="0" collapsed="false">
      <c r="A55" s="5" t="s">
        <v>587</v>
      </c>
      <c r="B55" s="5" t="s">
        <v>788</v>
      </c>
      <c r="C55" s="5" t="s">
        <v>787</v>
      </c>
      <c r="D55" s="5" t="s">
        <v>770</v>
      </c>
      <c r="E55" s="5" t="s">
        <v>432</v>
      </c>
      <c r="F55" s="46" t="n">
        <v>11549.14</v>
      </c>
      <c r="G55" s="45" t="n">
        <v>538.67</v>
      </c>
      <c r="H55" s="24" t="n">
        <v>435</v>
      </c>
      <c r="I55" s="2"/>
    </row>
    <row r="56" customFormat="false" ht="15" hidden="false" customHeight="false" outlineLevel="0" collapsed="false">
      <c r="A56" s="5" t="s">
        <v>587</v>
      </c>
      <c r="B56" s="5" t="s">
        <v>788</v>
      </c>
      <c r="C56" s="5" t="s">
        <v>787</v>
      </c>
      <c r="D56" s="5" t="s">
        <v>770</v>
      </c>
      <c r="E56" s="5" t="s">
        <v>432</v>
      </c>
      <c r="F56" s="46" t="n">
        <v>326309.7</v>
      </c>
      <c r="G56" s="45" t="n">
        <v>35549.598</v>
      </c>
      <c r="H56" s="24" t="n">
        <v>7002</v>
      </c>
      <c r="I56" s="2"/>
    </row>
    <row r="57" customFormat="false" ht="15" hidden="false" customHeight="false" outlineLevel="0" collapsed="false">
      <c r="A57" s="5" t="s">
        <v>587</v>
      </c>
      <c r="B57" s="5" t="s">
        <v>788</v>
      </c>
      <c r="C57" s="5" t="s">
        <v>771</v>
      </c>
      <c r="D57" s="5" t="s">
        <v>770</v>
      </c>
      <c r="E57" s="5" t="s">
        <v>432</v>
      </c>
      <c r="F57" s="46" t="n">
        <v>1287828.48</v>
      </c>
      <c r="G57" s="45" t="n">
        <v>10861.966</v>
      </c>
      <c r="H57" s="24" t="n">
        <v>7521</v>
      </c>
      <c r="I57" s="2"/>
    </row>
    <row r="58" customFormat="false" ht="15" hidden="false" customHeight="false" outlineLevel="0" collapsed="false">
      <c r="A58" s="5" t="s">
        <v>587</v>
      </c>
      <c r="B58" s="5" t="s">
        <v>788</v>
      </c>
      <c r="C58" s="5" t="s">
        <v>800</v>
      </c>
      <c r="D58" s="5" t="s">
        <v>770</v>
      </c>
      <c r="E58" s="5" t="s">
        <v>432</v>
      </c>
      <c r="F58" s="46" t="n">
        <v>0</v>
      </c>
      <c r="G58" s="45" t="n">
        <v>73.25</v>
      </c>
      <c r="H58" s="24" t="n">
        <v>58</v>
      </c>
      <c r="I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</row>
    <row r="61" customFormat="false" ht="15" hidden="false" customHeight="false" outlineLevel="0" collapsed="false">
      <c r="A61" s="4" t="s">
        <v>801</v>
      </c>
      <c r="B61" s="2"/>
      <c r="C61" s="2"/>
      <c r="D61" s="2"/>
      <c r="E61" s="2"/>
      <c r="F61" s="2"/>
      <c r="G61" s="2"/>
      <c r="H61" s="2"/>
      <c r="I61" s="2"/>
    </row>
    <row r="62" customFormat="false" ht="15" hidden="false" customHeight="false" outlineLevel="0" collapsed="false">
      <c r="A62" s="10" t="s">
        <v>420</v>
      </c>
      <c r="B62" s="10"/>
      <c r="C62" s="10"/>
      <c r="D62" s="10"/>
      <c r="E62" s="10"/>
      <c r="F62" s="10" t="s">
        <v>587</v>
      </c>
      <c r="G62" s="10" t="s">
        <v>599</v>
      </c>
      <c r="H62" s="10" t="s">
        <v>620</v>
      </c>
      <c r="I62" s="2"/>
    </row>
    <row r="63" customFormat="false" ht="15" hidden="false" customHeight="false" outlineLevel="0" collapsed="false">
      <c r="A63" s="6" t="s">
        <v>802</v>
      </c>
      <c r="B63" s="2"/>
      <c r="C63" s="2"/>
      <c r="D63" s="2"/>
      <c r="E63" s="2"/>
      <c r="F63" s="40" t="n">
        <f aca="false">SUMIFS($H$6:$H$26,$A$6:$A$26,"MPSS",$E$6:$E$26,"Brand")/SUMIFS($H$6:$H$26,$A$6:$A$26,"MPSS")</f>
        <v>0.46614142466467</v>
      </c>
      <c r="G63" s="40" t="n">
        <f aca="false">SUMIFS($H$6:$H$26,$A$6:$A$26,"HSS",$E$6:$E$26,"Brand")/SUMIFS($H$6:$H$26,$A$6:$A$26,"HSS")</f>
        <v>0.992802931169851</v>
      </c>
      <c r="H63" s="40" t="n">
        <f aca="false">SUMIFS($H$6:$H$26,$A$6:$A$26,"MPA",$E$6:$E$26,"Brand")/SUMIFS($H$6:$H$26,$A$6:$A$26,"MPA")</f>
        <v>0.0735081228888531</v>
      </c>
      <c r="I63" s="2"/>
    </row>
    <row r="64" customFormat="false" ht="15" hidden="false" customHeight="false" outlineLevel="0" collapsed="false">
      <c r="A64" s="6" t="s">
        <v>803</v>
      </c>
      <c r="B64" s="2"/>
      <c r="C64" s="2"/>
      <c r="D64" s="2"/>
      <c r="E64" s="2"/>
      <c r="F64" s="40" t="n">
        <f aca="false">SUMIFS($H$6:$H$26,$A$6:$A$26,"MPSS",$D$6:$D$26,"Dr. Reddy's")/SUMIFS($H$6:$H$26,$A$6:$A$26,"MPSS")</f>
        <v>0.265041020966272</v>
      </c>
      <c r="G64" s="40" t="n">
        <f aca="false">SUMIFS($H$6:$H$26,$A$6:$A$26,"HSS",$D$6:$D$26,"Dr. Reddy's")/SUMIFS($H$6:$H$26,$A$6:$A$26,"HSS")</f>
        <v>0</v>
      </c>
      <c r="H64" s="40" t="n">
        <f aca="false">SUMIFS($H$6:$H$26,$A$6:$A$26,"MPA",$D$6:$D$26,"Dr. Reddy's")/SUMIFS($H$6:$H$26,$A$6:$A$26,"MPA")</f>
        <v>0</v>
      </c>
      <c r="I64" s="2"/>
    </row>
    <row r="65" customFormat="false" ht="15" hidden="false" customHeight="false" outlineLevel="0" collapsed="false">
      <c r="A65" s="6" t="s">
        <v>804</v>
      </c>
      <c r="B65" s="2"/>
      <c r="C65" s="2"/>
      <c r="D65" s="2"/>
      <c r="E65" s="2"/>
      <c r="F65" s="40" t="n">
        <f aca="false">SUMIFS($H$6:$H$26,$A$6:$A$26,"MPSS",$D$6:$D$26,"Fresenius Kabi")/SUMIFS($H$6:$H$26,$A$6:$A$26,"MPSS")</f>
        <v>0.245604896470895</v>
      </c>
      <c r="G65" s="40" t="n">
        <f aca="false">SUMIFS($H$6:$H$26,$A$6:$A$26,"HSS",$D$6:$D$26,"Fresenius Kabi")/SUMIFS($H$6:$H$26,$A$6:$A$26,"HSS")</f>
        <v>0</v>
      </c>
      <c r="H65" s="40" t="n">
        <f aca="false">SUMIFS($H$6:$H$26,$A$6:$A$26,"MPA",$D$6:$D$26,"Fresenius Kabi")/SUMIFS($H$6:$H$26,$A$6:$A$26,"MPA")</f>
        <v>0</v>
      </c>
      <c r="I65" s="2"/>
    </row>
    <row r="66" customFormat="false" ht="15" hidden="false" customHeight="false" outlineLevel="0" collapsed="false">
      <c r="A66" s="6" t="s">
        <v>805</v>
      </c>
      <c r="B66" s="2"/>
      <c r="C66" s="2"/>
      <c r="D66" s="2"/>
      <c r="E66" s="2"/>
      <c r="F66" s="40" t="n">
        <f aca="false">SUMIFS($H$6:$H$26,$A$6:$A$26,"MPSS",$D$6:$D$26,"Hikma")/SUMIFS($H$6:$H$26,$A$6:$A$26,"MPSS")</f>
        <v>0.0227894257064722</v>
      </c>
      <c r="G66" s="40" t="n">
        <f aca="false">SUMIFS($H$6:$H$26,$A$6:$A$26,"HSS",$D$6:$D$26,"Hikma")/SUMIFS($H$6:$H$26,$A$6:$A$26,"HSS")</f>
        <v>0</v>
      </c>
      <c r="H66" s="40" t="n">
        <f aca="false">SUMIFS($H$6:$H$26,$A$6:$A$26,"MPA",$D$6:$D$26,"Hikma")/SUMIFS($H$6:$H$26,$A$6:$A$26,"MPA")</f>
        <v>0</v>
      </c>
      <c r="I66" s="2"/>
    </row>
    <row r="67" customFormat="false" ht="15" hidden="false" customHeight="false" outlineLevel="0" collapsed="false">
      <c r="A67" s="6" t="s">
        <v>806</v>
      </c>
      <c r="B67" s="2"/>
      <c r="C67" s="2"/>
      <c r="D67" s="2"/>
      <c r="E67" s="2"/>
      <c r="F67" s="40" t="n">
        <f aca="false">SUMIFS($H$6:$H$26,$A$6:$A$26,"MPSS",$D$6:$D$26,"Amneal")/SUMIFS($H$6:$H$26,$A$6:$A$26,"MPSS")</f>
        <v>0.000423232191691627</v>
      </c>
      <c r="G67" s="40" t="n">
        <f aca="false">SUMIFS($H$6:$H$26,$A$6:$A$26,"HSS",$D$6:$D$26,"Amneal")/SUMIFS($H$6:$H$26,$A$6:$A$26,"HSS")</f>
        <v>0</v>
      </c>
      <c r="H67" s="40" t="n">
        <f aca="false">SUMIFS($H$6:$H$26,$A$6:$A$26,"MPA",$D$6:$D$26,"Amneal")/SUMIFS($H$6:$H$26,$A$6:$A$26,"MPA")</f>
        <v>0.8849123371401</v>
      </c>
      <c r="I67" s="2"/>
    </row>
    <row r="68" customFormat="false" ht="15" hidden="false" customHeight="false" outlineLevel="0" collapsed="false">
      <c r="A68" s="6" t="s">
        <v>807</v>
      </c>
      <c r="B68" s="2"/>
      <c r="C68" s="2"/>
      <c r="D68" s="2"/>
      <c r="E68" s="2"/>
      <c r="F68" s="49" t="n">
        <f aca="false">SUMIFS($H$6:$H$26,$A$6:$A$26,"MPSS",$E$6:$E$26,"Brand")</f>
        <v>14318</v>
      </c>
      <c r="G68" s="49" t="n">
        <f aca="false">SUMIFS($H$6:$H$26,$A$6:$A$26,"HSS",$E$6:$E$26,"Brand")</f>
        <v>15174</v>
      </c>
      <c r="H68" s="49" t="n">
        <f aca="false">SUMIFS($H$6:$H$26,$A$6:$A$26,"MPA",$E$6:$E$26,"Brand")</f>
        <v>914</v>
      </c>
      <c r="I68" s="2"/>
    </row>
    <row r="69" customFormat="false" ht="15" hidden="false" customHeight="false" outlineLevel="0" collapsed="false">
      <c r="A69" s="6" t="s">
        <v>808</v>
      </c>
      <c r="B69" s="2"/>
      <c r="C69" s="2"/>
      <c r="D69" s="2"/>
      <c r="E69" s="2"/>
      <c r="F69" s="49" t="n">
        <f aca="false">SUMIFS($H$6:$H$26,$A$6:$A$26,"MPSS")</f>
        <v>30716</v>
      </c>
      <c r="G69" s="49" t="n">
        <f aca="false">SUMIFS($H$6:$H$26,$A$6:$A$26,"HSS")</f>
        <v>15284</v>
      </c>
      <c r="H69" s="49" t="n">
        <f aca="false">SUMIFS($H$6:$H$26,$A$6:$A$26,"MPA")</f>
        <v>12434</v>
      </c>
      <c r="I69" s="2"/>
    </row>
    <row r="70" customFormat="false" ht="15" hidden="false" customHeight="false" outlineLevel="0" collapsed="false">
      <c r="A70" s="6" t="s">
        <v>809</v>
      </c>
      <c r="B70" s="2"/>
      <c r="C70" s="2"/>
      <c r="D70" s="2"/>
      <c r="E70" s="2"/>
      <c r="F70" s="38" t="n">
        <f aca="false">IFERROR(SUMIFS($F$6:$F$26,$A$6:$A$26,"MPSS",$E$6:$E$26,"Generic")/SUMIFS($G$6:$G$26,$A$6:$A$26,"MPSS",$E$6:$E$26,"Generic"),0)</f>
        <v>4.65972653199066</v>
      </c>
      <c r="G70" s="38" t="n">
        <f aca="false">IFERROR(SUMIFS($F$6:$F$26,$A$6:$A$26,"HSS",$E$6:$E$26,"Generic")/SUMIFS($G$6:$G$26,$A$6:$A$26,"HSS",$E$6:$E$26,"Generic"),0)</f>
        <v>13.6178869047619</v>
      </c>
      <c r="H70" s="38" t="n">
        <f aca="false">IFERROR(SUMIFS($F$6:$F$26,$A$6:$A$26,"MPA",$E$6:$E$26,"Generic")/SUMIFS($G$6:$G$26,$A$6:$A$26,"MPA",$E$6:$E$26,"Generic"),0)</f>
        <v>10.7438134457467</v>
      </c>
      <c r="I70" s="2"/>
    </row>
    <row r="71" customFormat="false" ht="15" hidden="false" customHeight="false" outlineLevel="0" collapsed="false">
      <c r="A71" s="6" t="s">
        <v>810</v>
      </c>
      <c r="B71" s="2"/>
      <c r="C71" s="2"/>
      <c r="D71" s="2"/>
      <c r="E71" s="2"/>
      <c r="F71" s="38" t="n">
        <f aca="false">IFERROR(SUMIFS($F$6:$F$26,$A$6:$A$26,"MPSS",$E$6:$E$26,"Brand")/SUMIFS($G$6:$G$26,$A$6:$A$26,"MPSS",$E$6:$E$26,"Brand"),0)</f>
        <v>7.39552996321315</v>
      </c>
      <c r="G71" s="38" t="n">
        <f aca="false">IFERROR(SUMIFS($F$6:$F$26,$A$6:$A$26,"HSS",$E$6:$E$26,"Brand")/SUMIFS($G$6:$G$26,$A$6:$A$26,"HSS",$E$6:$E$26,"Brand"),0)</f>
        <v>10.0946852247171</v>
      </c>
      <c r="H71" s="38" t="n">
        <f aca="false">IFERROR(SUMIFS($F$6:$F$26,$A$6:$A$26,"MPA",$E$6:$E$26,"Brand")/SUMIFS($G$6:$G$26,$A$6:$A$26,"MPA",$E$6:$E$26,"Brand"),0)</f>
        <v>14.5289132947977</v>
      </c>
      <c r="I71" s="2"/>
    </row>
    <row r="72" customFormat="false" ht="15" hidden="false" customHeight="false" outlineLevel="0" collapsed="false">
      <c r="A72" s="6" t="s">
        <v>811</v>
      </c>
      <c r="B72" s="2"/>
      <c r="C72" s="2"/>
      <c r="D72" s="2"/>
      <c r="E72" s="2"/>
      <c r="F72" s="40" t="n">
        <f aca="false">IFERROR(F70/F71-1,0)</f>
        <v>-0.369926623897264</v>
      </c>
      <c r="G72" s="40" t="n">
        <f aca="false">IFERROR(G70/G71-1,0)</f>
        <v>0.349015506835039</v>
      </c>
      <c r="H72" s="40" t="n">
        <f aca="false">IFERROR(H70/H71-1,0)</f>
        <v>-0.260521882968788</v>
      </c>
      <c r="I72" s="2"/>
    </row>
    <row r="73" customFormat="false" ht="15" hidden="false" customHeight="false" outlineLevel="0" collapsed="false">
      <c r="A73" s="6" t="s">
        <v>812</v>
      </c>
      <c r="B73" s="2"/>
      <c r="C73" s="2"/>
      <c r="D73" s="2"/>
      <c r="E73" s="2"/>
      <c r="F73" s="55" t="n">
        <f aca="false">SUMIFS($F$6:$F$26,$A$6:$A$26,"MPSS")</f>
        <v>784577.82</v>
      </c>
      <c r="G73" s="55" t="n">
        <f aca="false">SUMIFS($F$6:$F$26,$A$6:$A$26,"HSS")</f>
        <v>1117972.45</v>
      </c>
      <c r="H73" s="55" t="n">
        <f aca="false">SUMIFS($F$6:$F$26,$A$6:$A$26,"MPA")</f>
        <v>245592.7</v>
      </c>
      <c r="I73" s="2"/>
    </row>
    <row r="74" customFormat="false" ht="15" hidden="false" customHeight="false" outlineLevel="0" collapsed="false">
      <c r="A74" s="6" t="s">
        <v>813</v>
      </c>
      <c r="B74" s="2"/>
      <c r="C74" s="2"/>
      <c r="D74" s="2"/>
      <c r="E74" s="2"/>
      <c r="F74" s="55" t="n">
        <f aca="false">SUMIFS($F$31:$F$58,$A$31:$A$58,"MPSS",$E$31:$E$58,"Brand")</f>
        <v>22506079.64</v>
      </c>
      <c r="G74" s="55" t="n">
        <f aca="false">SUMIFS($F$31:$F$58,$A$31:$A$58,"HSS",$E$31:$E$58,"Brand")</f>
        <v>4085024.87</v>
      </c>
      <c r="H74" s="55" t="n">
        <f aca="false">SUMIFS($F$31:$F$58,$A$31:$A$58,"MPA",$E$31:$E$58,"Brand")</f>
        <v>5740354.88</v>
      </c>
      <c r="I74" s="2"/>
    </row>
    <row r="75" customFormat="false" ht="15" hidden="false" customHeight="false" outlineLevel="0" collapsed="false">
      <c r="A75" s="6" t="s">
        <v>814</v>
      </c>
      <c r="B75" s="2"/>
      <c r="C75" s="2"/>
      <c r="D75" s="2"/>
      <c r="E75" s="2"/>
      <c r="F75" s="55" t="n">
        <f aca="false">SUMIFS($F$31:$F$58,$A$31:$A$58,"MPSS",$E$31:$E$58,"Generic")</f>
        <v>8953135.39</v>
      </c>
      <c r="G75" s="55" t="n">
        <f aca="false">SUMIFS($F$31:$F$58,$A$31:$A$58,"HSS",$E$31:$E$58,"Generic")</f>
        <v>14610.12</v>
      </c>
      <c r="H75" s="55" t="n">
        <f aca="false">SUMIFS($F$31:$F$58,$A$31:$A$58,"MPA",$E$31:$E$58,"Generic")</f>
        <v>3121661.16</v>
      </c>
      <c r="I75" s="2"/>
    </row>
    <row r="76" customFormat="false" ht="15" hidden="false" customHeight="false" outlineLevel="0" collapsed="false">
      <c r="A76" s="6" t="s">
        <v>815</v>
      </c>
      <c r="B76" s="2"/>
      <c r="C76" s="2"/>
      <c r="D76" s="2"/>
      <c r="E76" s="2"/>
      <c r="F76" s="40" t="n">
        <f aca="false">F74/(F74+F75)</f>
        <v>0.715404997185653</v>
      </c>
      <c r="G76" s="40" t="n">
        <f aca="false">G74/(G74+G75)</f>
        <v>0.996436238827203</v>
      </c>
      <c r="H76" s="40" t="n">
        <f aca="false">H74/(H74+H75)</f>
        <v>0.647748193423491</v>
      </c>
      <c r="I76" s="2"/>
    </row>
    <row r="77" customFormat="false" ht="15" hidden="false" customHeight="false" outlineLevel="0" collapsed="false">
      <c r="A77" s="6" t="s">
        <v>816</v>
      </c>
      <c r="B77" s="2"/>
      <c r="C77" s="2"/>
      <c r="D77" s="2"/>
      <c r="E77" s="2"/>
      <c r="F77" s="55" t="n">
        <f aca="false">SUMIFS($F$31:$F$58,$A$31:$A$58,"MPSS")</f>
        <v>31459215.03</v>
      </c>
      <c r="G77" s="55" t="n">
        <f aca="false">SUMIFS($F$31:$F$58,$A$31:$A$58,"HSS")</f>
        <v>4099634.99</v>
      </c>
      <c r="H77" s="55" t="n">
        <f aca="false">SUMIFS($F$31:$F$58,$A$31:$A$58,"MPA")</f>
        <v>8862016.04</v>
      </c>
      <c r="I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</row>
    <row r="80" customFormat="false" ht="15" hidden="false" customHeight="false" outlineLevel="0" collapsed="false">
      <c r="A80" s="4" t="s">
        <v>817</v>
      </c>
      <c r="B80" s="2"/>
      <c r="C80" s="2"/>
      <c r="D80" s="2"/>
      <c r="E80" s="2"/>
      <c r="F80" s="2"/>
      <c r="G80" s="2"/>
      <c r="H80" s="2"/>
      <c r="I80" s="2"/>
    </row>
    <row r="81" customFormat="false" ht="23.85" hidden="false" customHeight="false" outlineLevel="0" collapsed="false">
      <c r="A81" s="10" t="s">
        <v>818</v>
      </c>
      <c r="B81" s="10" t="s">
        <v>225</v>
      </c>
      <c r="C81" s="10" t="s">
        <v>580</v>
      </c>
      <c r="D81" s="10" t="s">
        <v>819</v>
      </c>
      <c r="E81" s="10"/>
      <c r="F81" s="10" t="s">
        <v>762</v>
      </c>
      <c r="G81" s="10" t="s">
        <v>763</v>
      </c>
      <c r="H81" s="10" t="s">
        <v>764</v>
      </c>
      <c r="I81" s="10" t="s">
        <v>820</v>
      </c>
    </row>
    <row r="82" customFormat="false" ht="15" hidden="false" customHeight="false" outlineLevel="0" collapsed="false">
      <c r="A82" s="5" t="s">
        <v>217</v>
      </c>
      <c r="B82" s="5" t="s">
        <v>343</v>
      </c>
      <c r="C82" s="5" t="s">
        <v>620</v>
      </c>
      <c r="D82" s="5" t="s">
        <v>343</v>
      </c>
      <c r="E82" s="2"/>
      <c r="F82" s="46" t="n">
        <v>10310247.43985</v>
      </c>
      <c r="G82" s="24" t="n">
        <v>80220707.9</v>
      </c>
      <c r="H82" s="24" t="n">
        <v>1297268</v>
      </c>
      <c r="I82" s="14" t="n">
        <v>0.128523516056507</v>
      </c>
    </row>
    <row r="83" customFormat="false" ht="15" hidden="false" customHeight="false" outlineLevel="0" collapsed="false">
      <c r="A83" s="5" t="s">
        <v>821</v>
      </c>
      <c r="B83" s="5" t="s">
        <v>239</v>
      </c>
      <c r="C83" s="5" t="s">
        <v>620</v>
      </c>
      <c r="D83" s="5" t="s">
        <v>291</v>
      </c>
      <c r="E83" s="2"/>
      <c r="F83" s="46" t="n">
        <v>1549673.44</v>
      </c>
      <c r="G83" s="24" t="n">
        <v>346694</v>
      </c>
      <c r="H83" s="24" t="n">
        <v>212079</v>
      </c>
      <c r="I83" s="14" t="n">
        <v>4.47</v>
      </c>
    </row>
    <row r="84" customFormat="false" ht="15" hidden="false" customHeight="false" outlineLevel="0" collapsed="false">
      <c r="A84" s="5" t="s">
        <v>821</v>
      </c>
      <c r="B84" s="5" t="s">
        <v>252</v>
      </c>
      <c r="C84" s="5" t="s">
        <v>620</v>
      </c>
      <c r="D84" s="5" t="s">
        <v>304</v>
      </c>
      <c r="E84" s="2"/>
      <c r="F84" s="46" t="n">
        <v>1537166.41</v>
      </c>
      <c r="G84" s="24" t="n">
        <v>305879</v>
      </c>
      <c r="H84" s="24" t="n">
        <v>193233</v>
      </c>
      <c r="I84" s="14" t="n">
        <v>5.03</v>
      </c>
    </row>
    <row r="85" customFormat="false" ht="15" hidden="false" customHeight="false" outlineLevel="0" collapsed="false">
      <c r="A85" s="5" t="s">
        <v>821</v>
      </c>
      <c r="B85" s="5" t="s">
        <v>265</v>
      </c>
      <c r="C85" s="5" t="s">
        <v>620</v>
      </c>
      <c r="D85" s="5" t="s">
        <v>317</v>
      </c>
      <c r="E85" s="2"/>
      <c r="F85" s="46" t="n">
        <v>1308786.74999937</v>
      </c>
      <c r="G85" s="24" t="n">
        <v>279662.1</v>
      </c>
      <c r="H85" s="24" t="n">
        <v>175979</v>
      </c>
      <c r="I85" s="14" t="n">
        <v>4.67988601243919</v>
      </c>
    </row>
    <row r="86" customFormat="false" ht="15" hidden="false" customHeight="false" outlineLevel="0" collapsed="false">
      <c r="A86" s="5" t="s">
        <v>821</v>
      </c>
      <c r="B86" s="5" t="s">
        <v>278</v>
      </c>
      <c r="C86" s="5" t="s">
        <v>620</v>
      </c>
      <c r="D86" s="5" t="s">
        <v>330</v>
      </c>
      <c r="E86" s="2"/>
      <c r="F86" s="46" t="n">
        <v>999440.349999453</v>
      </c>
      <c r="G86" s="24" t="n">
        <v>267025.5</v>
      </c>
      <c r="H86" s="24" t="n">
        <v>163885</v>
      </c>
      <c r="I86" s="14" t="n">
        <v>3.7428648200245</v>
      </c>
    </row>
    <row r="87" customFormat="false" ht="15" hidden="false" customHeight="false" outlineLevel="0" collapsed="false">
      <c r="A87" s="5" t="s">
        <v>821</v>
      </c>
      <c r="B87" s="5" t="s">
        <v>291</v>
      </c>
      <c r="C87" s="5" t="s">
        <v>620</v>
      </c>
      <c r="D87" s="5" t="s">
        <v>330</v>
      </c>
      <c r="E87" s="2"/>
      <c r="F87" s="46" t="n">
        <v>720396.569999021</v>
      </c>
      <c r="G87" s="24" t="n">
        <v>205254.5</v>
      </c>
      <c r="H87" s="24" t="n">
        <v>129771</v>
      </c>
      <c r="I87" s="14" t="n">
        <v>3.50977235577793</v>
      </c>
    </row>
    <row r="88" customFormat="false" ht="15" hidden="false" customHeight="false" outlineLevel="0" collapsed="false">
      <c r="A88" s="5" t="s">
        <v>821</v>
      </c>
      <c r="B88" s="5" t="s">
        <v>304</v>
      </c>
      <c r="C88" s="5" t="s">
        <v>620</v>
      </c>
      <c r="D88" s="5" t="s">
        <v>330</v>
      </c>
      <c r="E88" s="2"/>
      <c r="F88" s="46" t="n">
        <v>683929.230000465</v>
      </c>
      <c r="G88" s="24" t="n">
        <v>215296.1</v>
      </c>
      <c r="H88" s="24" t="n">
        <v>139862</v>
      </c>
      <c r="I88" s="14" t="n">
        <v>3.17669121735352</v>
      </c>
    </row>
    <row r="89" customFormat="false" ht="15" hidden="false" customHeight="false" outlineLevel="0" collapsed="false">
      <c r="A89" s="5" t="s">
        <v>821</v>
      </c>
      <c r="B89" s="5" t="s">
        <v>317</v>
      </c>
      <c r="C89" s="5" t="s">
        <v>620</v>
      </c>
      <c r="D89" s="5" t="s">
        <v>330</v>
      </c>
      <c r="E89" s="2"/>
      <c r="F89" s="46" t="n">
        <v>517089.769999875</v>
      </c>
      <c r="G89" s="24" t="n">
        <v>163381</v>
      </c>
      <c r="H89" s="24" t="n">
        <v>105680</v>
      </c>
      <c r="I89" s="14" t="n">
        <v>3.16493209124608</v>
      </c>
    </row>
    <row r="90" customFormat="false" ht="15" hidden="false" customHeight="false" outlineLevel="0" collapsed="false">
      <c r="A90" s="5" t="s">
        <v>821</v>
      </c>
      <c r="B90" s="5" t="s">
        <v>330</v>
      </c>
      <c r="C90" s="5" t="s">
        <v>620</v>
      </c>
      <c r="D90" s="5" t="s">
        <v>330</v>
      </c>
      <c r="E90" s="2"/>
      <c r="F90" s="46" t="n">
        <v>957975.490000058</v>
      </c>
      <c r="G90" s="24" t="n">
        <v>169844.5</v>
      </c>
      <c r="H90" s="24" t="n">
        <v>108610</v>
      </c>
      <c r="I90" s="14" t="n">
        <v>5.64030916514847</v>
      </c>
    </row>
    <row r="91" customFormat="false" ht="15" hidden="false" customHeight="false" outlineLevel="0" collapsed="false">
      <c r="A91" s="5" t="s">
        <v>216</v>
      </c>
      <c r="B91" s="5" t="s">
        <v>239</v>
      </c>
      <c r="C91" s="5" t="s">
        <v>620</v>
      </c>
      <c r="D91" s="5" t="s">
        <v>291</v>
      </c>
      <c r="E91" s="2"/>
      <c r="F91" s="46" t="n">
        <v>13194644.12</v>
      </c>
      <c r="G91" s="24" t="n">
        <v>2843544</v>
      </c>
      <c r="H91" s="24" t="n">
        <v>1970740</v>
      </c>
      <c r="I91" s="14" t="n">
        <v>4.64</v>
      </c>
    </row>
    <row r="92" customFormat="false" ht="15" hidden="false" customHeight="false" outlineLevel="0" collapsed="false">
      <c r="A92" s="5" t="s">
        <v>216</v>
      </c>
      <c r="B92" s="5" t="s">
        <v>252</v>
      </c>
      <c r="C92" s="5" t="s">
        <v>620</v>
      </c>
      <c r="D92" s="5" t="s">
        <v>304</v>
      </c>
      <c r="E92" s="2"/>
      <c r="F92" s="46" t="n">
        <v>16228687.49</v>
      </c>
      <c r="G92" s="24" t="n">
        <v>2844384</v>
      </c>
      <c r="H92" s="24" t="n">
        <v>1969507</v>
      </c>
      <c r="I92" s="14" t="n">
        <v>5.71</v>
      </c>
    </row>
    <row r="93" customFormat="false" ht="15" hidden="false" customHeight="false" outlineLevel="0" collapsed="false">
      <c r="A93" s="5" t="s">
        <v>216</v>
      </c>
      <c r="B93" s="5" t="s">
        <v>265</v>
      </c>
      <c r="C93" s="5" t="s">
        <v>620</v>
      </c>
      <c r="D93" s="5" t="s">
        <v>317</v>
      </c>
      <c r="E93" s="2"/>
      <c r="F93" s="46" t="n">
        <v>18181488.540064</v>
      </c>
      <c r="G93" s="24" t="n">
        <v>2754043.4</v>
      </c>
      <c r="H93" s="24" t="n">
        <v>1893658</v>
      </c>
      <c r="I93" s="14" t="n">
        <v>6.60174365446238</v>
      </c>
    </row>
    <row r="94" customFormat="false" ht="15" hidden="false" customHeight="false" outlineLevel="0" collapsed="false">
      <c r="A94" s="5" t="s">
        <v>216</v>
      </c>
      <c r="B94" s="5" t="s">
        <v>278</v>
      </c>
      <c r="C94" s="5" t="s">
        <v>620</v>
      </c>
      <c r="D94" s="5" t="s">
        <v>330</v>
      </c>
      <c r="E94" s="2"/>
      <c r="F94" s="46" t="n">
        <v>17325670.6200131</v>
      </c>
      <c r="G94" s="24" t="n">
        <v>2772354.9</v>
      </c>
      <c r="H94" s="24" t="n">
        <v>1903175</v>
      </c>
      <c r="I94" s="14" t="n">
        <v>6.24944180848313</v>
      </c>
    </row>
    <row r="95" customFormat="false" ht="15" hidden="false" customHeight="false" outlineLevel="0" collapsed="false">
      <c r="A95" s="5" t="s">
        <v>216</v>
      </c>
      <c r="B95" s="5" t="s">
        <v>291</v>
      </c>
      <c r="C95" s="5" t="s">
        <v>620</v>
      </c>
      <c r="D95" s="5" t="s">
        <v>330</v>
      </c>
      <c r="E95" s="2"/>
      <c r="F95" s="46" t="n">
        <v>13171459.7199834</v>
      </c>
      <c r="G95" s="24" t="n">
        <v>2184006.4</v>
      </c>
      <c r="H95" s="24" t="n">
        <v>1466320</v>
      </c>
      <c r="I95" s="14" t="n">
        <v>6.03087047729505</v>
      </c>
    </row>
    <row r="96" customFormat="false" ht="15" hidden="false" customHeight="false" outlineLevel="0" collapsed="false">
      <c r="A96" s="5" t="s">
        <v>216</v>
      </c>
      <c r="B96" s="5" t="s">
        <v>304</v>
      </c>
      <c r="C96" s="5" t="s">
        <v>620</v>
      </c>
      <c r="D96" s="5" t="s">
        <v>330</v>
      </c>
      <c r="E96" s="2"/>
      <c r="F96" s="46" t="n">
        <v>12224204.3902385</v>
      </c>
      <c r="G96" s="24" t="n">
        <v>2158194.1</v>
      </c>
      <c r="H96" s="24" t="n">
        <v>1444693</v>
      </c>
      <c r="I96" s="14" t="n">
        <v>5.66408943025027</v>
      </c>
    </row>
    <row r="97" customFormat="false" ht="15" hidden="false" customHeight="false" outlineLevel="0" collapsed="false">
      <c r="A97" s="5" t="s">
        <v>216</v>
      </c>
      <c r="B97" s="5" t="s">
        <v>317</v>
      </c>
      <c r="C97" s="5" t="s">
        <v>620</v>
      </c>
      <c r="D97" s="5" t="s">
        <v>330</v>
      </c>
      <c r="E97" s="2"/>
      <c r="F97" s="46" t="n">
        <v>9260159.39010347</v>
      </c>
      <c r="G97" s="24" t="n">
        <v>1452819.9</v>
      </c>
      <c r="H97" s="24" t="n">
        <v>988833</v>
      </c>
      <c r="I97" s="14" t="n">
        <v>6.37392108278767</v>
      </c>
    </row>
    <row r="98" customFormat="false" ht="15" hidden="false" customHeight="false" outlineLevel="0" collapsed="false">
      <c r="A98" s="5" t="s">
        <v>216</v>
      </c>
      <c r="B98" s="5" t="s">
        <v>330</v>
      </c>
      <c r="C98" s="5" t="s">
        <v>620</v>
      </c>
      <c r="D98" s="5" t="s">
        <v>330</v>
      </c>
      <c r="E98" s="2"/>
      <c r="F98" s="46" t="n">
        <v>11371773.7600133</v>
      </c>
      <c r="G98" s="24" t="n">
        <v>1504518</v>
      </c>
      <c r="H98" s="24" t="n">
        <v>1027484</v>
      </c>
      <c r="I98" s="14" t="n">
        <v>7.55841655600886</v>
      </c>
    </row>
    <row r="99" customFormat="false" ht="15" hidden="false" customHeight="false" outlineLevel="0" collapsed="false">
      <c r="A99" s="5" t="s">
        <v>220</v>
      </c>
      <c r="B99" s="5" t="s">
        <v>239</v>
      </c>
      <c r="C99" s="5" t="s">
        <v>620</v>
      </c>
      <c r="D99" s="5" t="s">
        <v>291</v>
      </c>
      <c r="E99" s="2"/>
      <c r="F99" s="46" t="n">
        <v>15599634.14</v>
      </c>
      <c r="G99" s="24" t="n">
        <v>1765483</v>
      </c>
      <c r="H99" s="24" t="n">
        <v>1508596</v>
      </c>
      <c r="I99" s="14" t="n">
        <v>8.84</v>
      </c>
    </row>
    <row r="100" customFormat="false" ht="15" hidden="false" customHeight="false" outlineLevel="0" collapsed="false">
      <c r="A100" s="5" t="s">
        <v>220</v>
      </c>
      <c r="B100" s="5" t="s">
        <v>252</v>
      </c>
      <c r="C100" s="5" t="s">
        <v>620</v>
      </c>
      <c r="D100" s="5" t="s">
        <v>304</v>
      </c>
      <c r="E100" s="2"/>
      <c r="F100" s="46" t="n">
        <v>18823032.11</v>
      </c>
      <c r="G100" s="24" t="n">
        <v>1731294</v>
      </c>
      <c r="H100" s="24" t="n">
        <v>1476288</v>
      </c>
      <c r="I100" s="14" t="n">
        <v>10.87</v>
      </c>
    </row>
    <row r="101" customFormat="false" ht="15" hidden="false" customHeight="false" outlineLevel="0" collapsed="false">
      <c r="A101" s="5" t="s">
        <v>220</v>
      </c>
      <c r="B101" s="5" t="s">
        <v>265</v>
      </c>
      <c r="C101" s="5" t="s">
        <v>620</v>
      </c>
      <c r="D101" s="5" t="s">
        <v>317</v>
      </c>
      <c r="E101" s="2"/>
      <c r="F101" s="46" t="n">
        <v>20626985.9996386</v>
      </c>
      <c r="G101" s="24" t="n">
        <v>1612235.2</v>
      </c>
      <c r="H101" s="24" t="n">
        <v>1375883</v>
      </c>
      <c r="I101" s="14" t="n">
        <v>12.7940303000695</v>
      </c>
    </row>
    <row r="102" customFormat="false" ht="15" hidden="false" customHeight="false" outlineLevel="0" collapsed="false">
      <c r="A102" s="5" t="s">
        <v>220</v>
      </c>
      <c r="B102" s="5" t="s">
        <v>278</v>
      </c>
      <c r="C102" s="5" t="s">
        <v>620</v>
      </c>
      <c r="D102" s="5" t="s">
        <v>330</v>
      </c>
      <c r="E102" s="2"/>
      <c r="F102" s="46" t="n">
        <v>18949404.1695842</v>
      </c>
      <c r="G102" s="24" t="n">
        <v>1572862.9</v>
      </c>
      <c r="H102" s="24" t="n">
        <v>1348685</v>
      </c>
      <c r="I102" s="14" t="n">
        <v>12.0477151375267</v>
      </c>
    </row>
    <row r="103" customFormat="false" ht="15" hidden="false" customHeight="false" outlineLevel="0" collapsed="false">
      <c r="A103" s="5" t="s">
        <v>220</v>
      </c>
      <c r="B103" s="5" t="s">
        <v>291</v>
      </c>
      <c r="C103" s="5" t="s">
        <v>620</v>
      </c>
      <c r="D103" s="5" t="s">
        <v>330</v>
      </c>
      <c r="E103" s="2"/>
      <c r="F103" s="46" t="n">
        <v>13595113.3799396</v>
      </c>
      <c r="G103" s="24" t="n">
        <v>1182365.1</v>
      </c>
      <c r="H103" s="24" t="n">
        <v>997346</v>
      </c>
      <c r="I103" s="14" t="n">
        <v>11.4982363568915</v>
      </c>
    </row>
    <row r="104" customFormat="false" ht="15" hidden="false" customHeight="false" outlineLevel="0" collapsed="false">
      <c r="A104" s="5" t="s">
        <v>220</v>
      </c>
      <c r="B104" s="5" t="s">
        <v>304</v>
      </c>
      <c r="C104" s="5" t="s">
        <v>620</v>
      </c>
      <c r="D104" s="5" t="s">
        <v>330</v>
      </c>
      <c r="E104" s="2"/>
      <c r="F104" s="46" t="n">
        <v>12107604.0200495</v>
      </c>
      <c r="G104" s="24" t="n">
        <v>1142273.5</v>
      </c>
      <c r="H104" s="24" t="n">
        <v>958951</v>
      </c>
      <c r="I104" s="14" t="n">
        <v>10.5995665837031</v>
      </c>
    </row>
    <row r="105" customFormat="false" ht="15" hidden="false" customHeight="false" outlineLevel="0" collapsed="false">
      <c r="A105" s="5" t="s">
        <v>220</v>
      </c>
      <c r="B105" s="5" t="s">
        <v>317</v>
      </c>
      <c r="C105" s="5" t="s">
        <v>620</v>
      </c>
      <c r="D105" s="5" t="s">
        <v>330</v>
      </c>
      <c r="E105" s="2"/>
      <c r="F105" s="46" t="n">
        <v>8520678.58007302</v>
      </c>
      <c r="G105" s="24" t="n">
        <v>780006.6</v>
      </c>
      <c r="H105" s="24" t="n">
        <v>653421</v>
      </c>
      <c r="I105" s="14" t="n">
        <v>10.9238544649148</v>
      </c>
    </row>
    <row r="106" customFormat="false" ht="15" hidden="false" customHeight="false" outlineLevel="0" collapsed="false">
      <c r="A106" s="5" t="s">
        <v>220</v>
      </c>
      <c r="B106" s="5" t="s">
        <v>330</v>
      </c>
      <c r="C106" s="5" t="s">
        <v>620</v>
      </c>
      <c r="D106" s="5" t="s">
        <v>330</v>
      </c>
      <c r="E106" s="2"/>
      <c r="F106" s="46" t="n">
        <v>9720870.94992613</v>
      </c>
      <c r="G106" s="24" t="n">
        <v>832089.6</v>
      </c>
      <c r="H106" s="24" t="n">
        <v>699591</v>
      </c>
      <c r="I106" s="14" t="n">
        <v>11.6824810091679</v>
      </c>
    </row>
    <row r="107" customFormat="false" ht="15" hidden="false" customHeight="false" outlineLevel="0" collapsed="false">
      <c r="A107" s="5" t="s">
        <v>206</v>
      </c>
      <c r="B107" s="5" t="s">
        <v>239</v>
      </c>
      <c r="C107" s="5" t="s">
        <v>599</v>
      </c>
      <c r="D107" s="5" t="s">
        <v>291</v>
      </c>
      <c r="E107" s="2"/>
      <c r="F107" s="46" t="n">
        <v>410894.41</v>
      </c>
      <c r="G107" s="24" t="n">
        <v>54721</v>
      </c>
      <c r="H107" s="24" t="n">
        <v>49205</v>
      </c>
      <c r="I107" s="14" t="n">
        <v>7.51</v>
      </c>
    </row>
    <row r="108" customFormat="false" ht="15" hidden="false" customHeight="false" outlineLevel="0" collapsed="false">
      <c r="A108" s="5" t="s">
        <v>206</v>
      </c>
      <c r="B108" s="5" t="s">
        <v>252</v>
      </c>
      <c r="C108" s="5" t="s">
        <v>599</v>
      </c>
      <c r="D108" s="5" t="s">
        <v>304</v>
      </c>
      <c r="E108" s="2"/>
      <c r="F108" s="46" t="n">
        <v>511082.53</v>
      </c>
      <c r="G108" s="24" t="n">
        <v>53771</v>
      </c>
      <c r="H108" s="24" t="n">
        <v>48417</v>
      </c>
      <c r="I108" s="14" t="n">
        <v>9.5</v>
      </c>
    </row>
    <row r="109" customFormat="false" ht="15" hidden="false" customHeight="false" outlineLevel="0" collapsed="false">
      <c r="A109" s="5" t="s">
        <v>206</v>
      </c>
      <c r="B109" s="5" t="s">
        <v>265</v>
      </c>
      <c r="C109" s="5" t="s">
        <v>599</v>
      </c>
      <c r="D109" s="5" t="s">
        <v>317</v>
      </c>
      <c r="E109" s="2"/>
      <c r="F109" s="46" t="n">
        <v>594410.099999763</v>
      </c>
      <c r="G109" s="24" t="n">
        <v>50235.9</v>
      </c>
      <c r="H109" s="24" t="n">
        <v>45623</v>
      </c>
      <c r="I109" s="14" t="n">
        <v>11.8323768460357</v>
      </c>
    </row>
    <row r="110" customFormat="false" ht="15" hidden="false" customHeight="false" outlineLevel="0" collapsed="false">
      <c r="A110" s="5" t="s">
        <v>206</v>
      </c>
      <c r="B110" s="5" t="s">
        <v>278</v>
      </c>
      <c r="C110" s="5" t="s">
        <v>599</v>
      </c>
      <c r="D110" s="5" t="s">
        <v>330</v>
      </c>
      <c r="E110" s="2"/>
      <c r="F110" s="46" t="n">
        <v>597287.820000035</v>
      </c>
      <c r="G110" s="24" t="n">
        <v>48404</v>
      </c>
      <c r="H110" s="24" t="n">
        <v>43691</v>
      </c>
      <c r="I110" s="14" t="n">
        <v>12.3396376332542</v>
      </c>
    </row>
    <row r="111" customFormat="false" ht="15" hidden="false" customHeight="false" outlineLevel="0" collapsed="false">
      <c r="A111" s="5" t="s">
        <v>206</v>
      </c>
      <c r="B111" s="5" t="s">
        <v>291</v>
      </c>
      <c r="C111" s="5" t="s">
        <v>599</v>
      </c>
      <c r="D111" s="5" t="s">
        <v>343</v>
      </c>
      <c r="E111" s="2"/>
      <c r="F111" s="46" t="n">
        <v>590909.180000296</v>
      </c>
      <c r="G111" s="24" t="n">
        <v>45086</v>
      </c>
      <c r="H111" s="24" t="n">
        <v>40851</v>
      </c>
      <c r="I111" s="14" t="n">
        <v>13.1062675775251</v>
      </c>
    </row>
    <row r="112" customFormat="false" ht="15" hidden="false" customHeight="false" outlineLevel="0" collapsed="false">
      <c r="A112" s="5" t="s">
        <v>206</v>
      </c>
      <c r="B112" s="5" t="s">
        <v>304</v>
      </c>
      <c r="C112" s="5" t="s">
        <v>599</v>
      </c>
      <c r="D112" s="5" t="s">
        <v>343</v>
      </c>
      <c r="E112" s="2"/>
      <c r="F112" s="46" t="n">
        <v>642328.110000036</v>
      </c>
      <c r="G112" s="24" t="n">
        <v>45377.5</v>
      </c>
      <c r="H112" s="24" t="n">
        <v>41505</v>
      </c>
      <c r="I112" s="14" t="n">
        <v>14.1552115034992</v>
      </c>
    </row>
    <row r="113" customFormat="false" ht="15" hidden="false" customHeight="false" outlineLevel="0" collapsed="false">
      <c r="A113" s="5" t="s">
        <v>206</v>
      </c>
      <c r="B113" s="5" t="s">
        <v>317</v>
      </c>
      <c r="C113" s="5" t="s">
        <v>599</v>
      </c>
      <c r="D113" s="5" t="s">
        <v>343</v>
      </c>
      <c r="E113" s="2"/>
      <c r="F113" s="46" t="n">
        <v>680268.420000216</v>
      </c>
      <c r="G113" s="24" t="n">
        <v>43568</v>
      </c>
      <c r="H113" s="24" t="n">
        <v>40136</v>
      </c>
      <c r="I113" s="14" t="n">
        <v>15.6139464744816</v>
      </c>
    </row>
    <row r="114" customFormat="false" ht="15" hidden="false" customHeight="false" outlineLevel="0" collapsed="false">
      <c r="A114" s="5" t="s">
        <v>206</v>
      </c>
      <c r="B114" s="5" t="s">
        <v>330</v>
      </c>
      <c r="C114" s="5" t="s">
        <v>599</v>
      </c>
      <c r="D114" s="5" t="s">
        <v>343</v>
      </c>
      <c r="E114" s="2"/>
      <c r="F114" s="46" t="n">
        <v>441126.910000092</v>
      </c>
      <c r="G114" s="24" t="n">
        <v>26194</v>
      </c>
      <c r="H114" s="24" t="n">
        <v>24445</v>
      </c>
      <c r="I114" s="14" t="n">
        <v>16.8407616248031</v>
      </c>
    </row>
    <row r="115" customFormat="false" ht="15" hidden="false" customHeight="false" outlineLevel="0" collapsed="false">
      <c r="A115" s="5" t="s">
        <v>206</v>
      </c>
      <c r="B115" s="5" t="s">
        <v>343</v>
      </c>
      <c r="C115" s="5" t="s">
        <v>599</v>
      </c>
      <c r="D115" s="5" t="s">
        <v>343</v>
      </c>
      <c r="E115" s="2"/>
      <c r="F115" s="46" t="n">
        <v>480302.610000092</v>
      </c>
      <c r="G115" s="24" t="n">
        <v>26691.5</v>
      </c>
      <c r="H115" s="24" t="n">
        <v>24926</v>
      </c>
      <c r="I115" s="14" t="n">
        <v>17.9945904126817</v>
      </c>
    </row>
    <row r="116" customFormat="false" ht="15" hidden="false" customHeight="false" outlineLevel="0" collapsed="false">
      <c r="A116" s="5" t="s">
        <v>196</v>
      </c>
      <c r="B116" s="5" t="s">
        <v>343</v>
      </c>
      <c r="C116" s="5" t="s">
        <v>587</v>
      </c>
      <c r="D116" s="5" t="s">
        <v>343</v>
      </c>
      <c r="E116" s="2"/>
      <c r="F116" s="46" t="n">
        <v>1179259.79999902</v>
      </c>
      <c r="G116" s="24" t="n">
        <v>4151843.2</v>
      </c>
      <c r="H116" s="24" t="n">
        <v>177911</v>
      </c>
      <c r="I116" s="14" t="n">
        <v>0.284032836307262</v>
      </c>
    </row>
    <row r="117" customFormat="false" ht="15" hidden="false" customHeight="false" outlineLevel="0" collapsed="false">
      <c r="A117" s="5" t="s">
        <v>195</v>
      </c>
      <c r="B117" s="5" t="s">
        <v>239</v>
      </c>
      <c r="C117" s="5" t="s">
        <v>587</v>
      </c>
      <c r="D117" s="5" t="s">
        <v>291</v>
      </c>
      <c r="E117" s="2"/>
      <c r="F117" s="46" t="n">
        <v>465606.35</v>
      </c>
      <c r="G117" s="24" t="n">
        <v>147866</v>
      </c>
      <c r="H117" s="24" t="n">
        <v>92080</v>
      </c>
      <c r="I117" s="14" t="n">
        <v>3.15</v>
      </c>
    </row>
    <row r="118" customFormat="false" ht="15" hidden="false" customHeight="false" outlineLevel="0" collapsed="false">
      <c r="A118" s="5" t="s">
        <v>195</v>
      </c>
      <c r="B118" s="5" t="s">
        <v>252</v>
      </c>
      <c r="C118" s="5" t="s">
        <v>587</v>
      </c>
      <c r="D118" s="5" t="s">
        <v>304</v>
      </c>
      <c r="E118" s="2"/>
      <c r="F118" s="46" t="n">
        <v>612335.45</v>
      </c>
      <c r="G118" s="24" t="n">
        <v>150293</v>
      </c>
      <c r="H118" s="24" t="n">
        <v>94000</v>
      </c>
      <c r="I118" s="14" t="n">
        <v>4.07</v>
      </c>
    </row>
    <row r="119" customFormat="false" ht="15" hidden="false" customHeight="false" outlineLevel="0" collapsed="false">
      <c r="A119" s="5" t="s">
        <v>195</v>
      </c>
      <c r="B119" s="5" t="s">
        <v>265</v>
      </c>
      <c r="C119" s="5" t="s">
        <v>587</v>
      </c>
      <c r="D119" s="5" t="s">
        <v>317</v>
      </c>
      <c r="E119" s="2"/>
      <c r="F119" s="46" t="n">
        <v>618904.950000159</v>
      </c>
      <c r="G119" s="24" t="n">
        <v>138685.1</v>
      </c>
      <c r="H119" s="24" t="n">
        <v>90859</v>
      </c>
      <c r="I119" s="14" t="n">
        <v>4.4626636170732</v>
      </c>
    </row>
    <row r="120" customFormat="false" ht="15" hidden="false" customHeight="false" outlineLevel="0" collapsed="false">
      <c r="A120" s="5" t="s">
        <v>195</v>
      </c>
      <c r="B120" s="5" t="s">
        <v>278</v>
      </c>
      <c r="C120" s="5" t="s">
        <v>587</v>
      </c>
      <c r="D120" s="5" t="s">
        <v>330</v>
      </c>
      <c r="E120" s="2"/>
      <c r="F120" s="46" t="n">
        <v>654079.140000155</v>
      </c>
      <c r="G120" s="24" t="n">
        <v>146770.6</v>
      </c>
      <c r="H120" s="24" t="n">
        <v>95383</v>
      </c>
      <c r="I120" s="14" t="n">
        <v>4.45647248154709</v>
      </c>
    </row>
    <row r="121" customFormat="false" ht="15" hidden="false" customHeight="false" outlineLevel="0" collapsed="false">
      <c r="A121" s="5" t="s">
        <v>195</v>
      </c>
      <c r="B121" s="5" t="s">
        <v>291</v>
      </c>
      <c r="C121" s="5" t="s">
        <v>587</v>
      </c>
      <c r="D121" s="5" t="s">
        <v>330</v>
      </c>
      <c r="E121" s="2"/>
      <c r="F121" s="46" t="n">
        <v>596927.880000586</v>
      </c>
      <c r="G121" s="24" t="n">
        <v>135901.4</v>
      </c>
      <c r="H121" s="24" t="n">
        <v>88459</v>
      </c>
      <c r="I121" s="14" t="n">
        <v>4.39236004927532</v>
      </c>
    </row>
    <row r="122" customFormat="false" ht="15" hidden="false" customHeight="false" outlineLevel="0" collapsed="false">
      <c r="A122" s="5" t="s">
        <v>195</v>
      </c>
      <c r="B122" s="5" t="s">
        <v>304</v>
      </c>
      <c r="C122" s="5" t="s">
        <v>587</v>
      </c>
      <c r="D122" s="5" t="s">
        <v>330</v>
      </c>
      <c r="E122" s="2"/>
      <c r="F122" s="46" t="n">
        <v>510526.060000646</v>
      </c>
      <c r="G122" s="24" t="n">
        <v>122103.9</v>
      </c>
      <c r="H122" s="24" t="n">
        <v>84180</v>
      </c>
      <c r="I122" s="14" t="n">
        <v>4.18107906463796</v>
      </c>
    </row>
    <row r="123" customFormat="false" ht="15" hidden="false" customHeight="false" outlineLevel="0" collapsed="false">
      <c r="A123" s="5" t="s">
        <v>195</v>
      </c>
      <c r="B123" s="5" t="s">
        <v>317</v>
      </c>
      <c r="C123" s="5" t="s">
        <v>587</v>
      </c>
      <c r="D123" s="5" t="s">
        <v>330</v>
      </c>
      <c r="E123" s="2"/>
      <c r="F123" s="46" t="n">
        <v>499290.31000015</v>
      </c>
      <c r="G123" s="24" t="n">
        <v>119425.5</v>
      </c>
      <c r="H123" s="24" t="n">
        <v>87023</v>
      </c>
      <c r="I123" s="14" t="n">
        <v>4.18076801018334</v>
      </c>
    </row>
    <row r="124" customFormat="false" ht="15" hidden="false" customHeight="false" outlineLevel="0" collapsed="false">
      <c r="A124" s="5" t="s">
        <v>195</v>
      </c>
      <c r="B124" s="5" t="s">
        <v>330</v>
      </c>
      <c r="C124" s="5" t="s">
        <v>587</v>
      </c>
      <c r="D124" s="5" t="s">
        <v>330</v>
      </c>
      <c r="E124" s="2"/>
      <c r="F124" s="46" t="n">
        <v>457486.939999923</v>
      </c>
      <c r="G124" s="24" t="n">
        <v>117446.5</v>
      </c>
      <c r="H124" s="24" t="n">
        <v>84462</v>
      </c>
      <c r="I124" s="14" t="n">
        <v>3.89527946767186</v>
      </c>
    </row>
    <row r="125" customFormat="false" ht="15" hidden="false" customHeight="false" outlineLevel="0" collapsed="false">
      <c r="A125" s="5" t="s">
        <v>199</v>
      </c>
      <c r="B125" s="5" t="s">
        <v>239</v>
      </c>
      <c r="C125" s="5" t="s">
        <v>587</v>
      </c>
      <c r="D125" s="5" t="s">
        <v>291</v>
      </c>
      <c r="E125" s="2"/>
      <c r="F125" s="46" t="n">
        <v>1665732.62</v>
      </c>
      <c r="G125" s="24" t="n">
        <v>369782</v>
      </c>
      <c r="H125" s="24" t="n">
        <v>241291</v>
      </c>
      <c r="I125" s="14" t="n">
        <v>4.5</v>
      </c>
    </row>
    <row r="126" customFormat="false" ht="15" hidden="false" customHeight="false" outlineLevel="0" collapsed="false">
      <c r="A126" s="5" t="s">
        <v>199</v>
      </c>
      <c r="B126" s="5" t="s">
        <v>252</v>
      </c>
      <c r="C126" s="5" t="s">
        <v>587</v>
      </c>
      <c r="D126" s="5" t="s">
        <v>304</v>
      </c>
      <c r="E126" s="2"/>
      <c r="F126" s="46" t="n">
        <v>2126602.05</v>
      </c>
      <c r="G126" s="24" t="n">
        <v>376729</v>
      </c>
      <c r="H126" s="24" t="n">
        <v>255315</v>
      </c>
      <c r="I126" s="14" t="n">
        <v>5.64</v>
      </c>
    </row>
    <row r="127" customFormat="false" ht="15" hidden="false" customHeight="false" outlineLevel="0" collapsed="false">
      <c r="A127" s="5" t="s">
        <v>199</v>
      </c>
      <c r="B127" s="5" t="s">
        <v>265</v>
      </c>
      <c r="C127" s="5" t="s">
        <v>587</v>
      </c>
      <c r="D127" s="5" t="s">
        <v>317</v>
      </c>
      <c r="E127" s="2"/>
      <c r="F127" s="46" t="n">
        <v>2325195.11000869</v>
      </c>
      <c r="G127" s="24" t="n">
        <v>361205</v>
      </c>
      <c r="H127" s="24" t="n">
        <v>258010</v>
      </c>
      <c r="I127" s="14" t="n">
        <v>6.43732813778517</v>
      </c>
    </row>
    <row r="128" customFormat="false" ht="15" hidden="false" customHeight="false" outlineLevel="0" collapsed="false">
      <c r="A128" s="5" t="s">
        <v>199</v>
      </c>
      <c r="B128" s="5" t="s">
        <v>278</v>
      </c>
      <c r="C128" s="5" t="s">
        <v>587</v>
      </c>
      <c r="D128" s="5" t="s">
        <v>330</v>
      </c>
      <c r="E128" s="2"/>
      <c r="F128" s="46" t="n">
        <v>2272930.52000237</v>
      </c>
      <c r="G128" s="24" t="n">
        <v>363601.7</v>
      </c>
      <c r="H128" s="24" t="n">
        <v>263586</v>
      </c>
      <c r="I128" s="14" t="n">
        <v>6.25115482133986</v>
      </c>
    </row>
    <row r="129" customFormat="false" ht="15" hidden="false" customHeight="false" outlineLevel="0" collapsed="false">
      <c r="A129" s="5" t="s">
        <v>199</v>
      </c>
      <c r="B129" s="5" t="s">
        <v>291</v>
      </c>
      <c r="C129" s="5" t="s">
        <v>587</v>
      </c>
      <c r="D129" s="5" t="s">
        <v>330</v>
      </c>
      <c r="E129" s="2"/>
      <c r="F129" s="46" t="n">
        <v>1684293.7099982</v>
      </c>
      <c r="G129" s="24" t="n">
        <v>271133.5</v>
      </c>
      <c r="H129" s="24" t="n">
        <v>186448</v>
      </c>
      <c r="I129" s="14" t="n">
        <v>6.21204576342722</v>
      </c>
    </row>
    <row r="130" customFormat="false" ht="15" hidden="false" customHeight="false" outlineLevel="0" collapsed="false">
      <c r="A130" s="5" t="s">
        <v>199</v>
      </c>
      <c r="B130" s="5" t="s">
        <v>304</v>
      </c>
      <c r="C130" s="5" t="s">
        <v>587</v>
      </c>
      <c r="D130" s="5" t="s">
        <v>330</v>
      </c>
      <c r="E130" s="2"/>
      <c r="F130" s="46" t="n">
        <v>1487852.36000116</v>
      </c>
      <c r="G130" s="24" t="n">
        <v>267476.8</v>
      </c>
      <c r="H130" s="24" t="n">
        <v>183879</v>
      </c>
      <c r="I130" s="14" t="n">
        <v>5.56254733121214</v>
      </c>
    </row>
    <row r="131" customFormat="false" ht="15" hidden="false" customHeight="false" outlineLevel="0" collapsed="false">
      <c r="A131" s="5" t="s">
        <v>199</v>
      </c>
      <c r="B131" s="5" t="s">
        <v>317</v>
      </c>
      <c r="C131" s="5" t="s">
        <v>587</v>
      </c>
      <c r="D131" s="5" t="s">
        <v>330</v>
      </c>
      <c r="E131" s="2"/>
      <c r="F131" s="46" t="n">
        <v>1609867.76000179</v>
      </c>
      <c r="G131" s="24" t="n">
        <v>280963.9</v>
      </c>
      <c r="H131" s="24" t="n">
        <v>194495</v>
      </c>
      <c r="I131" s="14" t="n">
        <v>5.72980286791929</v>
      </c>
    </row>
    <row r="132" customFormat="false" ht="15" hidden="false" customHeight="false" outlineLevel="0" collapsed="false">
      <c r="A132" s="5" t="s">
        <v>199</v>
      </c>
      <c r="B132" s="5" t="s">
        <v>330</v>
      </c>
      <c r="C132" s="5" t="s">
        <v>587</v>
      </c>
      <c r="D132" s="5" t="s">
        <v>330</v>
      </c>
      <c r="E132" s="2"/>
      <c r="F132" s="46" t="n">
        <v>1469059.33999702</v>
      </c>
      <c r="G132" s="24" t="n">
        <v>270487.8</v>
      </c>
      <c r="H132" s="24" t="n">
        <v>190838</v>
      </c>
      <c r="I132" s="14" t="n">
        <v>5.43114824401329</v>
      </c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</row>
    <row r="134" customFormat="false" ht="15" hidden="false" customHeight="false" outlineLevel="0" collapsed="false">
      <c r="A134" s="4" t="s">
        <v>822</v>
      </c>
      <c r="B134" s="2"/>
      <c r="C134" s="2"/>
      <c r="D134" s="2"/>
      <c r="E134" s="2"/>
      <c r="F134" s="2"/>
      <c r="G134" s="2"/>
      <c r="H134" s="2"/>
      <c r="I134" s="2"/>
    </row>
    <row r="135" customFormat="false" ht="15" hidden="false" customHeight="false" outlineLevel="0" collapsed="false">
      <c r="A135" s="10" t="s">
        <v>420</v>
      </c>
      <c r="B135" s="10"/>
      <c r="C135" s="10"/>
      <c r="D135" s="10"/>
      <c r="E135" s="10"/>
      <c r="F135" s="10" t="s">
        <v>151</v>
      </c>
      <c r="G135" s="2"/>
      <c r="H135" s="2"/>
      <c r="I135" s="2"/>
    </row>
    <row r="136" customFormat="false" ht="15" hidden="false" customHeight="false" outlineLevel="0" collapsed="false">
      <c r="A136" s="6" t="s">
        <v>823</v>
      </c>
      <c r="B136" s="2"/>
      <c r="C136" s="2"/>
      <c r="D136" s="2"/>
      <c r="E136" s="2"/>
      <c r="F136" s="38" t="n">
        <f aca="false">SUMIFS($I$82:$I$132,$A$82:$A$132,"J1720",$B$82:$B$132,"2016")</f>
        <v>7.51</v>
      </c>
      <c r="G136" s="2"/>
      <c r="H136" s="2"/>
      <c r="I136" s="2"/>
    </row>
    <row r="137" customFormat="false" ht="15" hidden="false" customHeight="false" outlineLevel="0" collapsed="false">
      <c r="A137" s="6" t="s">
        <v>824</v>
      </c>
      <c r="B137" s="2"/>
      <c r="C137" s="2"/>
      <c r="D137" s="2"/>
      <c r="E137" s="2"/>
      <c r="F137" s="38" t="n">
        <f aca="false">SUMIFS($I$82:$I$132,$A$82:$A$132,"J1720",$B$82:$B$132,"2024")</f>
        <v>17.9945904126817</v>
      </c>
      <c r="G137" s="2"/>
      <c r="H137" s="2"/>
      <c r="I137" s="2"/>
    </row>
    <row r="138" customFormat="false" ht="15" hidden="false" customHeight="false" outlineLevel="0" collapsed="false">
      <c r="A138" s="6" t="s">
        <v>825</v>
      </c>
      <c r="B138" s="2"/>
      <c r="C138" s="2"/>
      <c r="D138" s="2"/>
      <c r="E138" s="2"/>
      <c r="F138" s="49" t="n">
        <f aca="false">SUMIFS($G$82:$G$132,$A$82:$A$132,"J1720",$B$82:$B$132,"2016")</f>
        <v>54721</v>
      </c>
      <c r="G138" s="2"/>
      <c r="H138" s="2"/>
      <c r="I138" s="2"/>
    </row>
    <row r="139" customFormat="false" ht="15" hidden="false" customHeight="false" outlineLevel="0" collapsed="false">
      <c r="A139" s="6" t="s">
        <v>826</v>
      </c>
      <c r="B139" s="2"/>
      <c r="C139" s="2"/>
      <c r="D139" s="2"/>
      <c r="E139" s="2"/>
      <c r="F139" s="49" t="n">
        <f aca="false">SUMIFS($G$82:$G$132,$A$82:$A$132,"J1720",$B$82:$B$132,"2018")</f>
        <v>50235.9</v>
      </c>
      <c r="G139" s="2"/>
      <c r="H139" s="2"/>
      <c r="I139" s="2"/>
    </row>
    <row r="140" customFormat="false" ht="15" hidden="false" customHeight="false" outlineLevel="0" collapsed="false">
      <c r="A140" s="6" t="s">
        <v>827</v>
      </c>
      <c r="B140" s="2"/>
      <c r="C140" s="2"/>
      <c r="D140" s="2"/>
      <c r="E140" s="2"/>
      <c r="F140" s="49" t="n">
        <f aca="false">SUMIFS($G$82:$G$132,$A$82:$A$132,"J1720",$B$82:$B$132,"2024")</f>
        <v>26691.5</v>
      </c>
      <c r="G140" s="2"/>
      <c r="H140" s="2"/>
      <c r="I140" s="2"/>
    </row>
    <row r="141" customFormat="false" ht="15" hidden="false" customHeight="false" outlineLevel="0" collapsed="false">
      <c r="A141" s="6" t="s">
        <v>828</v>
      </c>
      <c r="B141" s="2"/>
      <c r="C141" s="2"/>
      <c r="D141" s="2"/>
      <c r="E141" s="2"/>
      <c r="F141" s="38" t="n">
        <f aca="false">SUMIFS($I$82:$I$132,$A$82:$A$132,"J1720",$B$82:$B$132,"2018")</f>
        <v>11.8323768460357</v>
      </c>
      <c r="G141" s="2"/>
      <c r="H141" s="2"/>
      <c r="I141" s="2"/>
    </row>
    <row r="142" customFormat="false" ht="15" hidden="false" customHeight="false" outlineLevel="0" collapsed="false">
      <c r="A142" s="6" t="s">
        <v>829</v>
      </c>
      <c r="B142" s="2"/>
      <c r="C142" s="2"/>
      <c r="D142" s="2"/>
      <c r="E142" s="2"/>
      <c r="F142" s="49" t="n">
        <f aca="false">SUMIFS($G$82:$G$132,$A$82:$A$132,"J2930",$B$82:$B$132,"2023")</f>
        <v>270487.8</v>
      </c>
      <c r="G142" s="2"/>
      <c r="H142" s="2"/>
      <c r="I142" s="2"/>
    </row>
    <row r="143" customFormat="false" ht="15" hidden="false" customHeight="false" outlineLevel="0" collapsed="false">
      <c r="A143" s="6" t="s">
        <v>830</v>
      </c>
      <c r="B143" s="2"/>
      <c r="C143" s="2"/>
      <c r="D143" s="2"/>
      <c r="E143" s="2"/>
      <c r="F143" s="49" t="n">
        <f aca="false">SUMIFS($G$82:$G$132,$A$82:$A$132,"J2919",$B$82:$B$132,"2024")</f>
        <v>4151843.2</v>
      </c>
      <c r="G143" s="2"/>
      <c r="H143" s="2"/>
      <c r="I143" s="2"/>
    </row>
    <row r="144" customFormat="false" ht="15" hidden="false" customHeight="false" outlineLevel="0" collapsed="false">
      <c r="A144" s="6" t="s">
        <v>831</v>
      </c>
      <c r="B144" s="2"/>
      <c r="C144" s="2"/>
      <c r="D144" s="2"/>
      <c r="E144" s="2"/>
      <c r="F144" s="49" t="n">
        <f aca="false">SUMIFS($G$82:$G$132,$A$82:$A$132,"J1010",$B$82:$B$132,"2024")</f>
        <v>80220707.9</v>
      </c>
      <c r="G144" s="2"/>
      <c r="H144" s="2"/>
      <c r="I144" s="2"/>
    </row>
    <row r="145" customFormat="false" ht="15" hidden="false" customHeight="false" outlineLevel="0" collapsed="false">
      <c r="A145" s="6" t="s">
        <v>832</v>
      </c>
      <c r="B145" s="2"/>
      <c r="C145" s="2"/>
      <c r="D145" s="2"/>
      <c r="E145" s="2"/>
      <c r="F145" s="55" t="n">
        <f aca="false">SUMIFS($F$82:$F$132,$A$82:$A$132,"J1720",$B$82:$B$132,"2023")</f>
        <v>441126.910000092</v>
      </c>
      <c r="G145" s="2"/>
      <c r="H145" s="2"/>
      <c r="I145" s="2"/>
    </row>
    <row r="146" customFormat="false" ht="15" hidden="false" customHeight="false" outlineLevel="0" collapsed="false">
      <c r="A146" s="6" t="s">
        <v>833</v>
      </c>
      <c r="B146" s="2"/>
      <c r="C146" s="2"/>
      <c r="D146" s="2"/>
      <c r="E146" s="2"/>
      <c r="F146" s="55" t="n">
        <f aca="false">SUMIFS($F$82:$F$132,$A$82:$A$132,"J2920",$B$82:$B$132,"2023")+SUMIFS($F$82:$F$132,$A$82:$A$132,"J2930",$B$82:$B$132,"2023")</f>
        <v>1926546.27999694</v>
      </c>
      <c r="G146" s="2"/>
      <c r="H146" s="2"/>
      <c r="I146" s="2"/>
    </row>
    <row r="147" customFormat="false" ht="15" hidden="false" customHeight="false" outlineLevel="0" collapsed="false">
      <c r="A147" s="47" t="s">
        <v>834</v>
      </c>
      <c r="B147" s="2"/>
      <c r="C147" s="2"/>
      <c r="D147" s="2"/>
      <c r="E147" s="2"/>
      <c r="F147" s="56" t="n">
        <f aca="false">$F$145/$F$146</f>
        <v>0.228972911048258</v>
      </c>
      <c r="G147" s="2"/>
      <c r="H147" s="2"/>
      <c r="I147" s="2"/>
    </row>
    <row r="148" customFormat="false" ht="15" hidden="false" customHeight="false" outlineLevel="0" collapsed="false">
      <c r="A148" s="47" t="s">
        <v>835</v>
      </c>
      <c r="B148" s="2"/>
      <c r="C148" s="2"/>
      <c r="D148" s="2"/>
      <c r="E148" s="2"/>
      <c r="F148" s="56" t="n">
        <f aca="false">G77/F77</f>
        <v>0.130315870440204</v>
      </c>
      <c r="G148" s="2"/>
      <c r="H148" s="2"/>
      <c r="I148" s="2"/>
    </row>
    <row r="149" customFormat="false" ht="15" hidden="false" customHeight="false" outlineLevel="0" collapsed="false">
      <c r="A149" s="47" t="s">
        <v>836</v>
      </c>
      <c r="B149" s="2"/>
      <c r="C149" s="2"/>
      <c r="D149" s="2"/>
      <c r="E149" s="2"/>
      <c r="F149" s="56" t="n">
        <f aca="false">G73/F73</f>
        <v>1.42493506890113</v>
      </c>
      <c r="G149" s="2"/>
      <c r="H149" s="2"/>
      <c r="I14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8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837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10" t="s">
        <v>838</v>
      </c>
      <c r="B4" s="10" t="s">
        <v>151</v>
      </c>
      <c r="C4" s="10" t="s">
        <v>152</v>
      </c>
      <c r="D4" s="10" t="s">
        <v>153</v>
      </c>
      <c r="E4" s="2"/>
    </row>
    <row r="5" customFormat="false" ht="15" hidden="false" customHeight="false" outlineLevel="0" collapsed="false">
      <c r="A5" s="6" t="s">
        <v>839</v>
      </c>
      <c r="B5" s="26" t="n">
        <v>288</v>
      </c>
      <c r="C5" s="6" t="s">
        <v>840</v>
      </c>
      <c r="D5" s="6" t="s">
        <v>841</v>
      </c>
      <c r="E5" s="2"/>
    </row>
    <row r="6" customFormat="false" ht="15" hidden="false" customHeight="false" outlineLevel="0" collapsed="false">
      <c r="A6" s="6" t="s">
        <v>842</v>
      </c>
      <c r="B6" s="26" t="n">
        <v>300</v>
      </c>
      <c r="C6" s="6" t="s">
        <v>840</v>
      </c>
      <c r="D6" s="6" t="s">
        <v>843</v>
      </c>
      <c r="E6" s="2"/>
    </row>
    <row r="7" customFormat="false" ht="15" hidden="false" customHeight="false" outlineLevel="0" collapsed="false">
      <c r="A7" s="6" t="s">
        <v>844</v>
      </c>
      <c r="B7" s="16" t="n">
        <v>0.9</v>
      </c>
      <c r="C7" s="6" t="s">
        <v>845</v>
      </c>
      <c r="D7" s="6" t="s">
        <v>846</v>
      </c>
      <c r="E7" s="2"/>
    </row>
    <row r="8" customFormat="false" ht="15" hidden="false" customHeight="false" outlineLevel="0" collapsed="false">
      <c r="A8" s="6" t="s">
        <v>847</v>
      </c>
      <c r="B8" s="26" t="n">
        <v>102</v>
      </c>
      <c r="C8" s="6" t="s">
        <v>840</v>
      </c>
      <c r="D8" s="6" t="s">
        <v>848</v>
      </c>
      <c r="E8" s="2"/>
    </row>
    <row r="9" customFormat="false" ht="15" hidden="false" customHeight="false" outlineLevel="0" collapsed="false">
      <c r="A9" s="6" t="s">
        <v>849</v>
      </c>
      <c r="B9" s="26" t="n">
        <v>123.5</v>
      </c>
      <c r="C9" s="6" t="s">
        <v>840</v>
      </c>
      <c r="D9" s="6" t="s">
        <v>850</v>
      </c>
      <c r="E9" s="2"/>
    </row>
    <row r="10" customFormat="false" ht="15" hidden="false" customHeight="false" outlineLevel="0" collapsed="false">
      <c r="A10" s="6" t="s">
        <v>851</v>
      </c>
      <c r="B10" s="26" t="n">
        <v>144</v>
      </c>
      <c r="C10" s="6" t="s">
        <v>840</v>
      </c>
      <c r="D10" s="6" t="s">
        <v>852</v>
      </c>
      <c r="E10" s="2"/>
    </row>
    <row r="11" customFormat="false" ht="15" hidden="false" customHeight="false" outlineLevel="0" collapsed="false">
      <c r="A11" s="6" t="s">
        <v>853</v>
      </c>
      <c r="B11" s="26" t="n">
        <v>57.4</v>
      </c>
      <c r="C11" s="6" t="s">
        <v>840</v>
      </c>
      <c r="D11" s="6" t="s">
        <v>854</v>
      </c>
      <c r="E11" s="2"/>
    </row>
    <row r="12" customFormat="false" ht="15" hidden="false" customHeight="false" outlineLevel="0" collapsed="false">
      <c r="A12" s="6" t="s">
        <v>855</v>
      </c>
      <c r="B12" s="46" t="n">
        <v>1811</v>
      </c>
      <c r="C12" s="6" t="s">
        <v>840</v>
      </c>
      <c r="D12" s="6" t="s">
        <v>856</v>
      </c>
      <c r="E12" s="2"/>
    </row>
    <row r="13" customFormat="false" ht="15" hidden="false" customHeight="false" outlineLevel="0" collapsed="false">
      <c r="A13" s="6" t="s">
        <v>857</v>
      </c>
      <c r="B13" s="16" t="n">
        <v>0.095</v>
      </c>
      <c r="C13" s="6" t="s">
        <v>845</v>
      </c>
      <c r="D13" s="6" t="s">
        <v>858</v>
      </c>
      <c r="E13" s="2"/>
    </row>
    <row r="14" customFormat="false" ht="15" hidden="false" customHeight="false" outlineLevel="0" collapsed="false">
      <c r="A14" s="6" t="s">
        <v>859</v>
      </c>
      <c r="B14" s="24" t="n">
        <v>20</v>
      </c>
      <c r="C14" s="6" t="s">
        <v>860</v>
      </c>
      <c r="D14" s="6" t="s">
        <v>861</v>
      </c>
      <c r="E14" s="2"/>
    </row>
    <row r="15" customFormat="false" ht="15" hidden="false" customHeight="false" outlineLevel="0" collapsed="false">
      <c r="A15" s="6" t="s">
        <v>862</v>
      </c>
      <c r="B15" s="45" t="n">
        <v>100</v>
      </c>
      <c r="C15" s="6" t="s">
        <v>863</v>
      </c>
      <c r="D15" s="6" t="s">
        <v>864</v>
      </c>
      <c r="E15" s="2"/>
    </row>
    <row r="16" customFormat="false" ht="15" hidden="false" customHeight="false" outlineLevel="0" collapsed="false">
      <c r="A16" s="6" t="s">
        <v>865</v>
      </c>
      <c r="B16" s="45" t="n">
        <v>176.5</v>
      </c>
      <c r="C16" s="6" t="s">
        <v>863</v>
      </c>
      <c r="D16" s="6" t="s">
        <v>866</v>
      </c>
      <c r="E16" s="2"/>
    </row>
    <row r="17" customFormat="false" ht="15" hidden="false" customHeight="false" outlineLevel="0" collapsed="false">
      <c r="A17" s="6" t="s">
        <v>867</v>
      </c>
      <c r="B17" s="45" t="n">
        <v>207.7</v>
      </c>
      <c r="C17" s="6" t="s">
        <v>863</v>
      </c>
      <c r="D17" s="6" t="s">
        <v>866</v>
      </c>
      <c r="E17" s="2"/>
    </row>
    <row r="18" customFormat="false" ht="15" hidden="false" customHeight="false" outlineLevel="0" collapsed="false">
      <c r="A18" s="2"/>
      <c r="B18" s="2"/>
      <c r="C18" s="2"/>
      <c r="D18" s="2"/>
      <c r="E18" s="2"/>
    </row>
    <row r="19" customFormat="false" ht="15" hidden="false" customHeight="false" outlineLevel="0" collapsed="false">
      <c r="A19" s="4" t="s">
        <v>868</v>
      </c>
      <c r="B19" s="2"/>
      <c r="C19" s="2"/>
      <c r="D19" s="2"/>
      <c r="E19" s="2"/>
    </row>
    <row r="20" customFormat="false" ht="15" hidden="false" customHeight="false" outlineLevel="0" collapsed="false">
      <c r="A20" s="10" t="s">
        <v>420</v>
      </c>
      <c r="B20" s="10" t="s">
        <v>151</v>
      </c>
      <c r="C20" s="10" t="s">
        <v>152</v>
      </c>
      <c r="D20" s="10" t="s">
        <v>476</v>
      </c>
      <c r="E20" s="2"/>
    </row>
    <row r="21" customFormat="false" ht="15" hidden="false" customHeight="false" outlineLevel="0" collapsed="false">
      <c r="A21" s="6" t="s">
        <v>869</v>
      </c>
      <c r="B21" s="57" t="n">
        <f aca="false">B5-B10</f>
        <v>144</v>
      </c>
      <c r="C21" s="6" t="s">
        <v>840</v>
      </c>
      <c r="D21" s="39" t="s">
        <v>870</v>
      </c>
      <c r="E21" s="2"/>
    </row>
    <row r="22" customFormat="false" ht="15" hidden="false" customHeight="false" outlineLevel="0" collapsed="false">
      <c r="A22" s="6" t="s">
        <v>871</v>
      </c>
      <c r="B22" s="55" t="n">
        <f aca="false">B12*(1+B13)^5</f>
        <v>2850.94635983215</v>
      </c>
      <c r="C22" s="6" t="s">
        <v>840</v>
      </c>
      <c r="D22" s="39" t="s">
        <v>872</v>
      </c>
      <c r="E22" s="2"/>
    </row>
    <row r="23" customFormat="false" ht="15" hidden="false" customHeight="false" outlineLevel="0" collapsed="false">
      <c r="A23" s="6" t="s">
        <v>873</v>
      </c>
      <c r="B23" s="25" t="n">
        <f aca="false">B15*10/Assumptions!$B$9</f>
        <v>11.5606936416185</v>
      </c>
      <c r="C23" s="6" t="s">
        <v>840</v>
      </c>
      <c r="D23" s="39" t="s">
        <v>874</v>
      </c>
      <c r="E23" s="2"/>
    </row>
    <row r="24" customFormat="false" ht="15" hidden="false" customHeight="false" outlineLevel="0" collapsed="false">
      <c r="A24" s="6" t="s">
        <v>875</v>
      </c>
      <c r="B24" s="25" t="n">
        <f aca="false">B16*10/Assumptions!$B$9</f>
        <v>20.4046242774566</v>
      </c>
      <c r="C24" s="6" t="s">
        <v>840</v>
      </c>
      <c r="D24" s="39" t="s">
        <v>874</v>
      </c>
      <c r="E24" s="2"/>
    </row>
    <row r="25" customFormat="false" ht="15" hidden="false" customHeight="false" outlineLevel="0" collapsed="false">
      <c r="A25" s="6" t="s">
        <v>876</v>
      </c>
      <c r="B25" s="25" t="n">
        <f aca="false">B17*10/Assumptions!$B$9</f>
        <v>24.0115606936416</v>
      </c>
      <c r="C25" s="6" t="s">
        <v>840</v>
      </c>
      <c r="D25" s="39" t="s">
        <v>874</v>
      </c>
      <c r="E25" s="2"/>
    </row>
    <row r="26" customFormat="false" ht="15" hidden="false" customHeight="false" outlineLevel="0" collapsed="false">
      <c r="A26" s="6" t="s">
        <v>140</v>
      </c>
      <c r="B26" s="40" t="n">
        <f aca="false">B25/B5</f>
        <v>0.0833734746307001</v>
      </c>
      <c r="C26" s="6" t="s">
        <v>845</v>
      </c>
      <c r="D26" s="39" t="s">
        <v>877</v>
      </c>
      <c r="E26" s="2"/>
    </row>
    <row r="27" customFormat="false" ht="15" hidden="false" customHeight="false" outlineLevel="0" collapsed="false">
      <c r="A27" s="6" t="s">
        <v>136</v>
      </c>
      <c r="B27" s="21" t="n">
        <f aca="false">CMS_Spending!$F$147</f>
        <v>0.228972911048258</v>
      </c>
      <c r="C27" s="6" t="s">
        <v>155</v>
      </c>
      <c r="D27" s="39" t="s">
        <v>878</v>
      </c>
      <c r="E27" s="2"/>
    </row>
    <row r="28" customFormat="false" ht="15" hidden="false" customHeight="false" outlineLevel="0" collapsed="false">
      <c r="A28" s="6" t="s">
        <v>137</v>
      </c>
      <c r="B28" s="21" t="n">
        <f aca="false">CMS_Spending!$F$148</f>
        <v>0.130315870440204</v>
      </c>
      <c r="C28" s="6" t="s">
        <v>155</v>
      </c>
      <c r="D28" s="39" t="s">
        <v>878</v>
      </c>
      <c r="E28" s="2"/>
    </row>
    <row r="29" customFormat="false" ht="15" hidden="false" customHeight="false" outlineLevel="0" collapsed="false">
      <c r="A29" s="6" t="s">
        <v>138</v>
      </c>
      <c r="B29" s="21" t="n">
        <f aca="false">CMS_Spending!$F$149</f>
        <v>1.42493506890113</v>
      </c>
      <c r="C29" s="6" t="s">
        <v>155</v>
      </c>
      <c r="D29" s="39" t="s">
        <v>878</v>
      </c>
      <c r="E29" s="2"/>
    </row>
    <row r="30" customFormat="false" ht="15" hidden="false" customHeight="false" outlineLevel="0" collapsed="false">
      <c r="A30" s="6" t="s">
        <v>879</v>
      </c>
      <c r="B30" s="15" t="n">
        <f aca="false">Medicaid_SDUD!$J$18</f>
        <v>0.73791431109106</v>
      </c>
      <c r="C30" s="6" t="s">
        <v>845</v>
      </c>
      <c r="D30" s="39" t="s">
        <v>880</v>
      </c>
      <c r="E30" s="2"/>
    </row>
    <row r="31" customFormat="false" ht="15" hidden="false" customHeight="false" outlineLevel="0" collapsed="false">
      <c r="A31" s="6" t="s">
        <v>881</v>
      </c>
      <c r="B31" s="15" t="n">
        <f aca="false">CMS_Spending!$F$63</f>
        <v>0.46614142466467</v>
      </c>
      <c r="C31" s="6" t="s">
        <v>845</v>
      </c>
      <c r="D31" s="39" t="s">
        <v>878</v>
      </c>
      <c r="E31" s="2"/>
    </row>
    <row r="32" customFormat="false" ht="15" hidden="false" customHeight="false" outlineLevel="0" collapsed="false">
      <c r="A32" s="6" t="s">
        <v>882</v>
      </c>
      <c r="B32" s="58" t="n">
        <f aca="false">B10/ASP_growth!$I$7</f>
        <v>23.9435294117647</v>
      </c>
      <c r="C32" s="6" t="s">
        <v>883</v>
      </c>
      <c r="D32" s="39" t="s">
        <v>884</v>
      </c>
      <c r="E32" s="2"/>
    </row>
    <row r="33" customFormat="false" ht="15" hidden="false" customHeight="false" outlineLevel="0" collapsed="false">
      <c r="A33" s="6" t="s">
        <v>885</v>
      </c>
      <c r="B33" s="40" t="n">
        <f aca="false">B14/B32</f>
        <v>0.835298742138365</v>
      </c>
      <c r="C33" s="6" t="s">
        <v>845</v>
      </c>
      <c r="D33" s="39" t="s">
        <v>886</v>
      </c>
      <c r="E33" s="2"/>
    </row>
    <row r="34" customFormat="false" ht="15" hidden="false" customHeight="false" outlineLevel="0" collapsed="false">
      <c r="A34" s="2"/>
      <c r="B34" s="2"/>
      <c r="C34" s="2"/>
      <c r="D34" s="2"/>
      <c r="E34" s="2"/>
    </row>
    <row r="35" customFormat="false" ht="15" hidden="false" customHeight="false" outlineLevel="0" collapsed="false">
      <c r="A35" s="2"/>
      <c r="B35" s="2"/>
      <c r="C35" s="2"/>
      <c r="D35" s="2"/>
      <c r="E35" s="2"/>
    </row>
    <row r="36" customFormat="false" ht="15" hidden="false" customHeight="false" outlineLevel="0" collapsed="false">
      <c r="A36" s="4" t="s">
        <v>887</v>
      </c>
      <c r="B36" s="2"/>
      <c r="C36" s="2"/>
      <c r="D36" s="2"/>
      <c r="E36" s="2"/>
    </row>
    <row r="37" customFormat="false" ht="23.85" hidden="false" customHeight="false" outlineLevel="0" collapsed="false">
      <c r="A37" s="10" t="s">
        <v>225</v>
      </c>
      <c r="B37" s="10" t="s">
        <v>888</v>
      </c>
      <c r="C37" s="10" t="s">
        <v>889</v>
      </c>
      <c r="D37" s="10" t="s">
        <v>439</v>
      </c>
      <c r="E37" s="10" t="s">
        <v>890</v>
      </c>
    </row>
    <row r="38" customFormat="false" ht="15" hidden="false" customHeight="false" outlineLevel="0" collapsed="false">
      <c r="A38" s="5" t="s">
        <v>265</v>
      </c>
      <c r="B38" s="46" t="n">
        <v>493</v>
      </c>
      <c r="C38" s="46" t="n">
        <v>266</v>
      </c>
      <c r="D38" s="6" t="s">
        <v>891</v>
      </c>
      <c r="E38" s="2"/>
    </row>
    <row r="39" customFormat="false" ht="15" hidden="false" customHeight="false" outlineLevel="0" collapsed="false">
      <c r="A39" s="5" t="s">
        <v>278</v>
      </c>
      <c r="B39" s="46" t="n">
        <v>469</v>
      </c>
      <c r="C39" s="46" t="n">
        <v>248</v>
      </c>
      <c r="D39" s="6" t="s">
        <v>891</v>
      </c>
      <c r="E39" s="40" t="n">
        <f aca="false">C39/C38-1</f>
        <v>-0.0676691729323309</v>
      </c>
    </row>
    <row r="40" customFormat="false" ht="15" hidden="false" customHeight="false" outlineLevel="0" collapsed="false">
      <c r="A40" s="5" t="s">
        <v>291</v>
      </c>
      <c r="B40" s="46" t="n">
        <v>402</v>
      </c>
      <c r="C40" s="46" t="n">
        <v>198</v>
      </c>
      <c r="D40" s="6" t="s">
        <v>892</v>
      </c>
      <c r="E40" s="40" t="n">
        <f aca="false">C40/C39-1</f>
        <v>-0.201612903225807</v>
      </c>
    </row>
    <row r="41" customFormat="false" ht="15" hidden="false" customHeight="false" outlineLevel="0" collapsed="false">
      <c r="A41" s="5" t="s">
        <v>304</v>
      </c>
      <c r="B41" s="46" t="n">
        <v>432</v>
      </c>
      <c r="C41" s="46" t="n">
        <v>181</v>
      </c>
      <c r="D41" s="6" t="s">
        <v>892</v>
      </c>
      <c r="E41" s="40" t="n">
        <f aca="false">C41/C40-1</f>
        <v>-0.0858585858585859</v>
      </c>
    </row>
    <row r="42" customFormat="false" ht="15" hidden="false" customHeight="false" outlineLevel="0" collapsed="false">
      <c r="A42" s="5" t="s">
        <v>317</v>
      </c>
      <c r="B42" s="46" t="n">
        <v>328</v>
      </c>
      <c r="C42" s="46" t="n">
        <v>132</v>
      </c>
      <c r="D42" s="6" t="s">
        <v>893</v>
      </c>
      <c r="E42" s="40" t="n">
        <f aca="false">C42/C41-1</f>
        <v>-0.270718232044199</v>
      </c>
    </row>
    <row r="43" customFormat="false" ht="15" hidden="false" customHeight="false" outlineLevel="0" collapsed="false">
      <c r="A43" s="5" t="s">
        <v>330</v>
      </c>
      <c r="B43" s="46" t="n">
        <v>339</v>
      </c>
      <c r="C43" s="46" t="n">
        <v>132</v>
      </c>
      <c r="D43" s="6" t="s">
        <v>893</v>
      </c>
      <c r="E43" s="40" t="n">
        <f aca="false">C43/C42-1</f>
        <v>0</v>
      </c>
    </row>
    <row r="44" customFormat="false" ht="15" hidden="false" customHeight="false" outlineLevel="0" collapsed="false">
      <c r="A44" s="47" t="s">
        <v>894</v>
      </c>
      <c r="B44" s="2"/>
      <c r="C44" s="54" t="n">
        <f aca="false">C43/C38-1</f>
        <v>-0.503759398496241</v>
      </c>
      <c r="D44" s="2"/>
      <c r="E44" s="2"/>
    </row>
    <row r="45" customFormat="false" ht="15" hidden="false" customHeight="false" outlineLevel="0" collapsed="false">
      <c r="A45" s="6" t="s">
        <v>895</v>
      </c>
      <c r="B45" s="46" t="n">
        <v>475</v>
      </c>
      <c r="C45" s="2"/>
      <c r="D45" s="6" t="s">
        <v>896</v>
      </c>
      <c r="E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897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10" t="s">
        <v>420</v>
      </c>
      <c r="B4" s="10" t="s">
        <v>151</v>
      </c>
      <c r="C4" s="10" t="s">
        <v>476</v>
      </c>
    </row>
    <row r="5" customFormat="false" ht="15" hidden="false" customHeight="false" outlineLevel="0" collapsed="false">
      <c r="A5" s="6" t="s">
        <v>898</v>
      </c>
      <c r="B5" s="27" t="n">
        <f aca="false">Assumptions!$B$11</f>
        <v>46266</v>
      </c>
      <c r="C5" s="39" t="s">
        <v>899</v>
      </c>
    </row>
    <row r="6" customFormat="false" ht="15" hidden="false" customHeight="false" outlineLevel="0" collapsed="false">
      <c r="A6" s="6" t="s">
        <v>900</v>
      </c>
      <c r="B6" s="27" t="n">
        <f aca="false">EDATE(B5,Assumptions!$B$10)</f>
        <v>46569</v>
      </c>
      <c r="C6" s="39" t="s">
        <v>901</v>
      </c>
    </row>
    <row r="7" customFormat="false" ht="15" hidden="false" customHeight="false" outlineLevel="0" collapsed="false">
      <c r="A7" s="6" t="s">
        <v>902</v>
      </c>
      <c r="B7" s="7" t="str">
        <f aca="false">"FY"&amp;TEXT(MOD(IF(MONTH(B6)&gt;=4,YEAR(B6)+1,YEAR(B6)),100),"00")</f>
        <v>FY28</v>
      </c>
      <c r="C7" s="39" t="s">
        <v>903</v>
      </c>
    </row>
    <row r="8" customFormat="false" ht="15" hidden="false" customHeight="false" outlineLevel="0" collapsed="false">
      <c r="A8" s="6" t="s">
        <v>904</v>
      </c>
      <c r="B8" s="27" t="n">
        <f aca="false">EDATE(Assumptions!$B$12,Assumptions!$B$10)</f>
        <v>46692</v>
      </c>
      <c r="C8" s="39" t="s">
        <v>905</v>
      </c>
    </row>
    <row r="9" customFormat="false" ht="15" hidden="false" customHeight="false" outlineLevel="0" collapsed="false">
      <c r="A9" s="6" t="s">
        <v>906</v>
      </c>
      <c r="B9" s="27" t="n">
        <f aca="false">EDATE(Assumptions!$B$13,Assumptions!$B$10)</f>
        <v>46783</v>
      </c>
      <c r="C9" s="39" t="s">
        <v>907</v>
      </c>
    </row>
    <row r="10" customFormat="false" ht="15" hidden="false" customHeight="false" outlineLevel="0" collapsed="false">
      <c r="A10" s="6" t="s">
        <v>908</v>
      </c>
      <c r="B10" s="27" t="n">
        <f aca="false">Assumptions!$B$15+Assumptions!$B$14</f>
        <v>45741</v>
      </c>
      <c r="C10" s="39" t="s">
        <v>909</v>
      </c>
    </row>
    <row r="11" customFormat="false" ht="15" hidden="false" customHeight="false" outlineLevel="0" collapsed="false">
      <c r="A11" s="6" t="s">
        <v>910</v>
      </c>
      <c r="B11" s="19" t="n">
        <f aca="false">DATEDIF(Assumptions!$B$16,Assumptions!$B$17,"m")</f>
        <v>25</v>
      </c>
      <c r="C11" s="39" t="s">
        <v>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0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912</v>
      </c>
      <c r="B1" s="2"/>
      <c r="C1" s="2"/>
    </row>
    <row r="2" customFormat="false" ht="15" hidden="false" customHeight="false" outlineLevel="0" collapsed="false">
      <c r="A2" s="3" t="s">
        <v>913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10" t="s">
        <v>914</v>
      </c>
      <c r="B4" s="10" t="s">
        <v>439</v>
      </c>
      <c r="C4" s="10" t="s">
        <v>7</v>
      </c>
    </row>
    <row r="5" customFormat="false" ht="15" hidden="false" customHeight="false" outlineLevel="0" collapsed="false">
      <c r="A5" s="47" t="s">
        <v>915</v>
      </c>
      <c r="B5" s="6" t="s">
        <v>916</v>
      </c>
      <c r="C5" s="36" t="s">
        <v>917</v>
      </c>
    </row>
    <row r="6" customFormat="false" ht="15" hidden="false" customHeight="false" outlineLevel="0" collapsed="false">
      <c r="A6" s="47" t="s">
        <v>918</v>
      </c>
      <c r="B6" s="6" t="s">
        <v>919</v>
      </c>
      <c r="C6" s="36" t="s">
        <v>380</v>
      </c>
    </row>
    <row r="7" customFormat="false" ht="15" hidden="false" customHeight="false" outlineLevel="0" collapsed="false">
      <c r="A7" s="47" t="s">
        <v>213</v>
      </c>
      <c r="B7" s="6" t="s">
        <v>920</v>
      </c>
      <c r="C7" s="36" t="s">
        <v>921</v>
      </c>
    </row>
    <row r="8" customFormat="false" ht="15" hidden="false" customHeight="false" outlineLevel="0" collapsed="false">
      <c r="A8" s="47" t="s">
        <v>162</v>
      </c>
      <c r="B8" s="6" t="s">
        <v>922</v>
      </c>
      <c r="C8" s="36" t="s">
        <v>348</v>
      </c>
    </row>
    <row r="9" customFormat="false" ht="15" hidden="false" customHeight="false" outlineLevel="0" collapsed="false">
      <c r="A9" s="47" t="s">
        <v>923</v>
      </c>
      <c r="B9" s="6" t="s">
        <v>924</v>
      </c>
      <c r="C9" s="36" t="s">
        <v>925</v>
      </c>
    </row>
    <row r="10" customFormat="false" ht="15" hidden="false" customHeight="false" outlineLevel="0" collapsed="false">
      <c r="A10" s="47" t="s">
        <v>926</v>
      </c>
      <c r="B10" s="6" t="s">
        <v>927</v>
      </c>
      <c r="C10" s="36" t="s">
        <v>928</v>
      </c>
    </row>
    <row r="11" customFormat="false" ht="15" hidden="false" customHeight="false" outlineLevel="0" collapsed="false">
      <c r="A11" s="47" t="s">
        <v>929</v>
      </c>
      <c r="B11" s="6" t="s">
        <v>930</v>
      </c>
      <c r="C11" s="36" t="s">
        <v>931</v>
      </c>
    </row>
    <row r="12" customFormat="false" ht="15" hidden="false" customHeight="false" outlineLevel="0" collapsed="false">
      <c r="A12" s="47" t="s">
        <v>932</v>
      </c>
      <c r="B12" s="6" t="s">
        <v>933</v>
      </c>
      <c r="C12" s="36" t="s">
        <v>934</v>
      </c>
    </row>
    <row r="13" customFormat="false" ht="15" hidden="false" customHeight="false" outlineLevel="0" collapsed="false">
      <c r="A13" s="47" t="s">
        <v>935</v>
      </c>
      <c r="B13" s="6" t="s">
        <v>936</v>
      </c>
      <c r="C13" s="36" t="s">
        <v>937</v>
      </c>
    </row>
    <row r="14" customFormat="false" ht="15" hidden="false" customHeight="false" outlineLevel="0" collapsed="false">
      <c r="A14" s="47" t="s">
        <v>589</v>
      </c>
      <c r="B14" s="6" t="s">
        <v>938</v>
      </c>
      <c r="C14" s="36" t="s">
        <v>939</v>
      </c>
    </row>
    <row r="15" customFormat="false" ht="15" hidden="false" customHeight="false" outlineLevel="0" collapsed="false">
      <c r="A15" s="47" t="s">
        <v>590</v>
      </c>
      <c r="B15" s="6" t="s">
        <v>940</v>
      </c>
      <c r="C15" s="36" t="s">
        <v>941</v>
      </c>
    </row>
    <row r="16" customFormat="false" ht="15" hidden="false" customHeight="false" outlineLevel="0" collapsed="false">
      <c r="A16" s="47" t="s">
        <v>591</v>
      </c>
      <c r="B16" s="6" t="s">
        <v>942</v>
      </c>
      <c r="C16" s="36" t="s">
        <v>943</v>
      </c>
    </row>
    <row r="17" customFormat="false" ht="15" hidden="false" customHeight="false" outlineLevel="0" collapsed="false">
      <c r="A17" s="47" t="s">
        <v>592</v>
      </c>
      <c r="B17" s="6" t="s">
        <v>944</v>
      </c>
      <c r="C17" s="36" t="s">
        <v>945</v>
      </c>
    </row>
    <row r="18" customFormat="false" ht="15" hidden="false" customHeight="false" outlineLevel="0" collapsed="false">
      <c r="A18" s="47" t="s">
        <v>593</v>
      </c>
      <c r="B18" s="6" t="s">
        <v>946</v>
      </c>
      <c r="C18" s="36" t="s">
        <v>947</v>
      </c>
    </row>
    <row r="19" customFormat="false" ht="15" hidden="false" customHeight="false" outlineLevel="0" collapsed="false">
      <c r="A19" s="47" t="s">
        <v>594</v>
      </c>
      <c r="B19" s="6" t="s">
        <v>948</v>
      </c>
      <c r="C19" s="36" t="s">
        <v>949</v>
      </c>
    </row>
    <row r="20" customFormat="false" ht="15" hidden="false" customHeight="false" outlineLevel="0" collapsed="false">
      <c r="A20" s="47" t="s">
        <v>595</v>
      </c>
      <c r="B20" s="6" t="s">
        <v>950</v>
      </c>
      <c r="C20" s="36" t="s">
        <v>951</v>
      </c>
    </row>
    <row r="21" customFormat="false" ht="15" hidden="false" customHeight="false" outlineLevel="0" collapsed="false">
      <c r="A21" s="47" t="s">
        <v>596</v>
      </c>
      <c r="B21" s="6" t="s">
        <v>952</v>
      </c>
      <c r="C21" s="36" t="s">
        <v>953</v>
      </c>
    </row>
    <row r="22" customFormat="false" ht="15" hidden="false" customHeight="false" outlineLevel="0" collapsed="false">
      <c r="A22" s="47" t="s">
        <v>597</v>
      </c>
      <c r="B22" s="6" t="s">
        <v>954</v>
      </c>
      <c r="C22" s="36" t="s">
        <v>955</v>
      </c>
    </row>
    <row r="23" customFormat="false" ht="15" hidden="false" customHeight="false" outlineLevel="0" collapsed="false">
      <c r="A23" s="47" t="s">
        <v>537</v>
      </c>
      <c r="B23" s="6" t="s">
        <v>956</v>
      </c>
      <c r="C23" s="36" t="s">
        <v>957</v>
      </c>
    </row>
    <row r="24" customFormat="false" ht="15" hidden="false" customHeight="false" outlineLevel="0" collapsed="false">
      <c r="A24" s="47" t="s">
        <v>958</v>
      </c>
      <c r="B24" s="6" t="s">
        <v>959</v>
      </c>
      <c r="C24" s="36" t="s">
        <v>960</v>
      </c>
    </row>
    <row r="25" customFormat="false" ht="15" hidden="false" customHeight="false" outlineLevel="0" collapsed="false">
      <c r="A25" s="47" t="s">
        <v>961</v>
      </c>
      <c r="B25" s="6" t="s">
        <v>962</v>
      </c>
      <c r="C25" s="36" t="s">
        <v>963</v>
      </c>
    </row>
    <row r="26" customFormat="false" ht="15" hidden="false" customHeight="false" outlineLevel="0" collapsed="false">
      <c r="A26" s="47" t="s">
        <v>964</v>
      </c>
      <c r="B26" s="6" t="s">
        <v>965</v>
      </c>
      <c r="C26" s="36" t="s">
        <v>966</v>
      </c>
    </row>
    <row r="27" customFormat="false" ht="15" hidden="false" customHeight="false" outlineLevel="0" collapsed="false">
      <c r="A27" s="47" t="s">
        <v>967</v>
      </c>
      <c r="B27" s="6" t="s">
        <v>968</v>
      </c>
      <c r="C27" s="36" t="s">
        <v>969</v>
      </c>
    </row>
    <row r="28" customFormat="false" ht="15" hidden="false" customHeight="false" outlineLevel="0" collapsed="false">
      <c r="A28" s="47" t="s">
        <v>858</v>
      </c>
      <c r="B28" s="6" t="s">
        <v>970</v>
      </c>
      <c r="C28" s="36" t="s">
        <v>971</v>
      </c>
    </row>
    <row r="29" customFormat="false" ht="15" hidden="false" customHeight="false" outlineLevel="0" collapsed="false">
      <c r="A29" s="47" t="s">
        <v>972</v>
      </c>
      <c r="B29" s="6" t="s">
        <v>973</v>
      </c>
      <c r="C29" s="36" t="s">
        <v>974</v>
      </c>
    </row>
    <row r="30" customFormat="false" ht="15" hidden="false" customHeight="false" outlineLevel="0" collapsed="false">
      <c r="A30" s="47" t="s">
        <v>975</v>
      </c>
      <c r="B30" s="6" t="s">
        <v>976</v>
      </c>
      <c r="C30" s="36" t="s">
        <v>977</v>
      </c>
    </row>
    <row r="31" customFormat="false" ht="15" hidden="false" customHeight="false" outlineLevel="0" collapsed="false">
      <c r="A31" s="47" t="s">
        <v>866</v>
      </c>
      <c r="B31" s="6" t="s">
        <v>978</v>
      </c>
      <c r="C31" s="36" t="s">
        <v>979</v>
      </c>
    </row>
    <row r="32" customFormat="false" ht="15" hidden="false" customHeight="false" outlineLevel="0" collapsed="false">
      <c r="A32" s="47" t="s">
        <v>852</v>
      </c>
      <c r="B32" s="6" t="s">
        <v>980</v>
      </c>
      <c r="C32" s="36" t="s">
        <v>981</v>
      </c>
    </row>
    <row r="33" customFormat="false" ht="15" hidden="false" customHeight="false" outlineLevel="0" collapsed="false">
      <c r="A33" s="47" t="s">
        <v>850</v>
      </c>
      <c r="B33" s="6" t="s">
        <v>982</v>
      </c>
      <c r="C33" s="36" t="s">
        <v>983</v>
      </c>
    </row>
    <row r="34" customFormat="false" ht="15" hidden="false" customHeight="false" outlineLevel="0" collapsed="false">
      <c r="A34" s="47" t="s">
        <v>848</v>
      </c>
      <c r="B34" s="6" t="s">
        <v>984</v>
      </c>
      <c r="C34" s="36" t="s">
        <v>985</v>
      </c>
    </row>
    <row r="35" customFormat="false" ht="15" hidden="false" customHeight="false" outlineLevel="0" collapsed="false">
      <c r="A35" s="47" t="s">
        <v>854</v>
      </c>
      <c r="B35" s="6" t="s">
        <v>986</v>
      </c>
      <c r="C35" s="36" t="s">
        <v>987</v>
      </c>
    </row>
    <row r="36" customFormat="false" ht="15" hidden="false" customHeight="false" outlineLevel="0" collapsed="false">
      <c r="A36" s="47" t="s">
        <v>988</v>
      </c>
      <c r="B36" s="6" t="s">
        <v>989</v>
      </c>
      <c r="C36" s="36" t="s">
        <v>990</v>
      </c>
    </row>
    <row r="37" customFormat="false" ht="15" hidden="false" customHeight="false" outlineLevel="0" collapsed="false">
      <c r="A37" s="47" t="s">
        <v>991</v>
      </c>
      <c r="B37" s="6" t="s">
        <v>992</v>
      </c>
      <c r="C37" s="36" t="s">
        <v>993</v>
      </c>
    </row>
    <row r="38" customFormat="false" ht="15" hidden="false" customHeight="false" outlineLevel="0" collapsed="false">
      <c r="A38" s="47" t="s">
        <v>994</v>
      </c>
      <c r="B38" s="6" t="s">
        <v>995</v>
      </c>
      <c r="C38" s="36" t="s">
        <v>996</v>
      </c>
    </row>
    <row r="39" customFormat="false" ht="15" hidden="false" customHeight="false" outlineLevel="0" collapsed="false">
      <c r="A39" s="47" t="s">
        <v>997</v>
      </c>
      <c r="B39" s="6" t="s">
        <v>998</v>
      </c>
      <c r="C39" s="36" t="s">
        <v>999</v>
      </c>
    </row>
    <row r="40" customFormat="false" ht="15" hidden="false" customHeight="false" outlineLevel="0" collapsed="false">
      <c r="A40" s="47" t="s">
        <v>1000</v>
      </c>
      <c r="B40" s="6" t="s">
        <v>1001</v>
      </c>
      <c r="C40" s="36" t="s">
        <v>1002</v>
      </c>
    </row>
    <row r="41" customFormat="false" ht="15" hidden="false" customHeight="false" outlineLevel="0" collapsed="false">
      <c r="A41" s="47" t="s">
        <v>1003</v>
      </c>
      <c r="B41" s="6" t="s">
        <v>1004</v>
      </c>
      <c r="C41" s="36" t="s">
        <v>1005</v>
      </c>
    </row>
    <row r="42" customFormat="false" ht="15" hidden="false" customHeight="false" outlineLevel="0" collapsed="false">
      <c r="A42" s="47" t="s">
        <v>1006</v>
      </c>
      <c r="B42" s="6" t="s">
        <v>1007</v>
      </c>
      <c r="C42" s="36" t="s">
        <v>1008</v>
      </c>
    </row>
    <row r="43" customFormat="false" ht="15" hidden="false" customHeight="false" outlineLevel="0" collapsed="false">
      <c r="A43" s="47" t="s">
        <v>1009</v>
      </c>
      <c r="B43" s="6" t="s">
        <v>1010</v>
      </c>
      <c r="C43" s="36" t="s">
        <v>1011</v>
      </c>
    </row>
    <row r="44" customFormat="false" ht="15" hidden="false" customHeight="false" outlineLevel="0" collapsed="false">
      <c r="A44" s="47" t="s">
        <v>1012</v>
      </c>
      <c r="B44" s="6" t="s">
        <v>1013</v>
      </c>
      <c r="C44" s="36" t="s">
        <v>1014</v>
      </c>
    </row>
    <row r="45" customFormat="false" ht="15" hidden="false" customHeight="false" outlineLevel="0" collapsed="false">
      <c r="A45" s="47" t="s">
        <v>1015</v>
      </c>
      <c r="B45" s="6" t="s">
        <v>1016</v>
      </c>
      <c r="C45" s="36" t="s">
        <v>1017</v>
      </c>
    </row>
    <row r="46" customFormat="false" ht="15" hidden="false" customHeight="false" outlineLevel="0" collapsed="false">
      <c r="A46" s="47" t="s">
        <v>1018</v>
      </c>
      <c r="B46" s="6" t="s">
        <v>1019</v>
      </c>
      <c r="C46" s="36" t="s">
        <v>1020</v>
      </c>
    </row>
    <row r="47" customFormat="false" ht="15" hidden="false" customHeight="false" outlineLevel="0" collapsed="false">
      <c r="A47" s="47" t="s">
        <v>1021</v>
      </c>
      <c r="B47" s="6" t="s">
        <v>1022</v>
      </c>
      <c r="C47" s="36" t="s">
        <v>1023</v>
      </c>
    </row>
    <row r="48" customFormat="false" ht="15" hidden="false" customHeight="false" outlineLevel="0" collapsed="false">
      <c r="A48" s="47" t="s">
        <v>1024</v>
      </c>
      <c r="B48" s="6" t="s">
        <v>1025</v>
      </c>
      <c r="C48" s="36" t="s">
        <v>1026</v>
      </c>
    </row>
    <row r="49" customFormat="false" ht="15" hidden="false" customHeight="false" outlineLevel="0" collapsed="false">
      <c r="A49" s="47" t="s">
        <v>1027</v>
      </c>
      <c r="B49" s="6" t="s">
        <v>1028</v>
      </c>
      <c r="C49" s="36" t="s">
        <v>1029</v>
      </c>
    </row>
    <row r="50" customFormat="false" ht="15" hidden="false" customHeight="false" outlineLevel="0" collapsed="false">
      <c r="A50" s="47" t="s">
        <v>1030</v>
      </c>
      <c r="B50" s="6" t="s">
        <v>1031</v>
      </c>
      <c r="C50" s="36" t="s">
        <v>1032</v>
      </c>
    </row>
    <row r="51" customFormat="false" ht="15" hidden="false" customHeight="false" outlineLevel="0" collapsed="false">
      <c r="A51" s="47" t="s">
        <v>1033</v>
      </c>
      <c r="B51" s="6" t="s">
        <v>1034</v>
      </c>
      <c r="C51" s="36" t="s">
        <v>1035</v>
      </c>
    </row>
  </sheetData>
  <hyperlinks>
    <hyperlink ref="C5" r:id="rId1" display="https://www.cms.gov/medicare/payment/part-b-drugs/asp-pricing-files"/>
    <hyperlink ref="C6" r:id="rId2" display="https://www.cms.gov/files/zip/october-2026-medicare-part-b-payment-limit-files-final.zip"/>
    <hyperlink ref="C7" r:id="rId3" display="https://www.cms.gov/files/zip/october-2026-ndc-hcpcs-crosswalk-final.zip"/>
    <hyperlink ref="C8" r:id="rId4" display="https://www.cms.gov/files/zip/april-2024-asp-pricing-file.zip"/>
    <hyperlink ref="C9" r:id="rId5" display="https://www.fda.gov/media/76860/download"/>
    <hyperlink ref="C10" r:id="rId6" display="https://api.fda.gov/drug/ndc.json?search=active_ingredients.name:%22METHYLPREDNISOLONE+SODIUM+SUCCINATE%22&amp;limit=200"/>
    <hyperlink ref="C11" r:id="rId7" display="https://api.fda.gov/drug/ndc.json?search=active_ingredients.name:%22HYDROCORTISONE+SODIUM+SUCCINATE%22&amp;limit=100"/>
    <hyperlink ref="C12" r:id="rId8" display="https://www.fda.gov/drugs/generic-drugs/competitive-generic-therapy-approvals"/>
    <hyperlink ref="C13" r:id="rId9" display="https://www.fda.gov/media/153631/download"/>
    <hyperlink ref="C14" r:id="rId10" display="https://data.medicaid.gov/dataset/a1f3598e-fc71-51aa-8560-78e7e1a61b09"/>
    <hyperlink ref="C15" r:id="rId11" display="https://data.medicaid.gov/dataset/daba7980-e219-5996-9bec-90358fd156f1"/>
    <hyperlink ref="C16" r:id="rId12" display="https://data.medicaid.gov/dataset/cc318bfb-a9b2-55f3-a924-d47376b32ea3"/>
    <hyperlink ref="C17" r:id="rId13" display="https://data.medicaid.gov/dataset/eec7fbe6-c4c4-5915-b3d0-be5828ef4e9d"/>
    <hyperlink ref="C18" r:id="rId14" display="https://data.medicaid.gov/dataset/200c2cba-e58d-4a95-aa60-14b99736808d"/>
    <hyperlink ref="C19" r:id="rId15" display="https://data.medicaid.gov/dataset/d890d3a9-6b00-43fd-8b31-fcba4c8e2909"/>
    <hyperlink ref="C20" r:id="rId16" display="https://data.medicaid.gov/dataset/61729e5a-7aa8-448c-8903-ba3e0cd0ea3c"/>
    <hyperlink ref="C21" r:id="rId17" display="https://data.medicaid.gov/dataset/158a1baa-5506-400a-8ec3-97756f0b0536"/>
    <hyperlink ref="C22" r:id="rId18" display="https://data.medicaid.gov/dataset/2957a7f9-9a15-453e-9afd-3bbdcbac8fd3"/>
    <hyperlink ref="C23" r:id="rId19" display="https://data.medicaid.gov/dataset/fbb83258-11c7-47f5-8b18-5f8e79f7e704"/>
    <hyperlink ref="C24" r:id="rId20" display="https://data.cms.gov/sites/default/files/2026-06/ae1c5e06-957d-42dd-b783-e7fe598c01c9/DSD_MCD_RY26_P06_V20_D24_BGM.csv"/>
    <hyperlink ref="C25" r:id="rId21" display="https://data.cms.gov/sites/default/files/2026-06/98218f98-166c-4723-8438-c344a4ef96a6/DSD_PTD_RY26_P04_V10_DY24_BGM.csv"/>
    <hyperlink ref="C26" r:id="rId22" display="https://data.cms.gov/sites/default/files/2026-06/6616fc91-eb70-404c-9f27-1448e47a3a73/DSD_PTB_RY26_P06_V10_DYT24_HCPCS-%20260602.csv"/>
    <hyperlink ref="C27" r:id="rId23" display="https://data.cms.gov/summary-statistics-on-use-and-payments/medicare-medicaid-spending-by-drug/medicare-part-b-spending-by-drug"/>
    <hyperlink ref="C28" r:id="rId24" display="https://www.sebi.gov.in/sebi_data/attachdocs/aug-2026/1787119258529.pdf"/>
    <hyperlink ref="C29" r:id="rId25" display="https://www.bseindia.com/xml-data/corpfiling/Attachhis/91eed093-577e-4264-babd-546a03192722.pdf"/>
    <hyperlink ref="C30" r:id="rId26" display="https://www.bseindia.com/xml-data/corpfiling/AttachLive/47a96a6d-0348-40db-a957-9ae203f20580.pdf"/>
    <hyperlink ref="C31" r:id="rId27" display="https://mailcontent.icicidirect.com/mailcontent/idirect_symbiotec_convictionidea.pdf"/>
    <hyperlink ref="C32" r:id="rId28" display="https://www.sec.gov/Archives/edgar/data/1135951/000157587222000246/drr0379_ex99-2.htm"/>
    <hyperlink ref="C33" r:id="rId29" display="https://hikma.com/media/3cpbifha/09032016-product-hikma-receives-fda-approval-for-methylprednisolone-sodium-succinate-injection.pdf"/>
    <hyperlink ref="C34" r:id="rId30" display="https://biospectrumindia.com/news/95/6186/another-fda-approval-in-aurobindos-kitty.html"/>
    <hyperlink ref="C35" r:id="rId31" display="https://bsmedia.business-standard.com/_media/bs/data/announcements/bse/27012026/a9ea92dd-a2a8-4632-8e08-e434fdcec6fc.pdf"/>
    <hyperlink ref="C36" r:id="rId32" display="https://www.sec.gov/Archives/edgar/data/78003/000007800320000003/pfe-12312019xex99.htm"/>
    <hyperlink ref="C37" r:id="rId33" display="https://www.sec.gov/Archives/edgar/data/78003/000007800322000003/pfe-12312021xex99.htm"/>
    <hyperlink ref="C38" r:id="rId34" display="https://www.sec.gov/Archives/edgar/data/78003/000007800324000017/pfe-12312023xex99.htm"/>
    <hyperlink ref="C39" r:id="rId35" display="https://www.sec.gov/Archives/edgar/data/78003/000007800325000054/pfe-20241231.htm"/>
    <hyperlink ref="C40" r:id="rId36" display="https://cdn.pfizer.com/pfizercom/products/ctprescribers/SOLU-CORTEFCTPriceDisclosureShortForm07092024.pdf"/>
    <hyperlink ref="C41" r:id="rId37" display="https://cdn.pfizer.com/pfizercom/products/ctprescribers/SOLU-CORTEFCTPriceDisclosureShortForm03282025.pdf"/>
    <hyperlink ref="C42" r:id="rId38" display="https://cdn.pfizer.com/pfizercom/products/ctprescribers/SOLU-CORTEFCTPriceDisclosureShortForm07282025.pdf"/>
    <hyperlink ref="C43" r:id="rId39" display="https://cdn.pfizer.com/pfizercom/products/ctprescribers/SOLU-CORTEFCTPriceDisclosureShortForm10032025.pdf"/>
    <hyperlink ref="C44" r:id="rId40" display="https://cdn.pfizer.com/pfizercom/products/ctprescribers/SOLU-CORTEFCTPriceDisclosureShortForm01092026.pdf"/>
    <hyperlink ref="C45" r:id="rId41" display="https://cdn.pfizer.com/pfizercom/products/ctprescribers/SOLU-CORTEFCTPriceDisclosureShortForm07062026.pdf"/>
    <hyperlink ref="C46" r:id="rId42" display="https://cdn.pfizer.com/pfizercom/products/ctprescribers/SOLU-MEDROLCTPriceDisclosureShortForm07092024.pdf"/>
    <hyperlink ref="C47" r:id="rId43" display="https://cdn.pfizer.com/pfizercom/products/ctprescribers/SOLU-MEDROLCTPriceDisclosureShortForm03282025.pdf"/>
    <hyperlink ref="C48" r:id="rId44" display="https://cdn.pfizer.com/pfizercom/products/ctprescribers/SOLU-MEDROLCTPriceDisclosureShortForm07282025.pdf"/>
    <hyperlink ref="C49" r:id="rId45" display="https://cdn.pfizer.com/pfizercom/products/ctprescribers/SOLU-MEDROLCTPriceDisclosureShortForm10032025.pdf"/>
    <hyperlink ref="C50" r:id="rId46" display="https://cdn.pfizer.com/pfizercom/products/ctprescribers/SOLU-MEDROLCTPriceDisclosureShortForm01092026.pdf"/>
    <hyperlink ref="C51" r:id="rId47" display="https://cdn.pfizer.com/pfizercom/products/ctprescribers/SOLU-MEDROLCTPriceDisclosureShortForm07062026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2026-10-21T06:11:59Z</dcterms:created>
  <dc:creator>openpyxl</dc:creator>
  <dc:description/>
  <dc:language>en-US</dc:language>
  <cp:lastModifiedBy/>
  <dcterms:modified xsi:type="dcterms:W3CDTF">2026-10-21T06:12:01Z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